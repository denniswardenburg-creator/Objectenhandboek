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tnml-my.sharepoint.com/personal/dennis_wardenburg_ictnml_nl/Documents/Documenten/Persoonlijke ontwikkeling/"/>
    </mc:Choice>
  </mc:AlternateContent>
  <xr:revisionPtr revIDLastSave="44" documentId="8_{C43B065E-F9A4-468C-817B-7FCB73C0ACD1}" xr6:coauthVersionLast="47" xr6:coauthVersionMax="47" xr10:uidLastSave="{1FF2EBD4-5105-4C59-9254-D6B9CBA7C12D}"/>
  <bookViews>
    <workbookView xWindow="-90" yWindow="0" windowWidth="19380" windowHeight="20970" activeTab="2" xr2:uid="{1C794FF2-9633-4738-B5FB-C6C5005023E7}"/>
  </bookViews>
  <sheets>
    <sheet name="weekplanning" sheetId="1" r:id="rId1"/>
    <sheet name="raming objectenhandboek" sheetId="2" r:id="rId2"/>
    <sheet name="objectpagina's" sheetId="3" r:id="rId3"/>
    <sheet name="infopagina's" sheetId="4" r:id="rId4"/>
  </sheets>
  <definedNames>
    <definedName name="_xlnm._FilterDatabase" localSheetId="2" hidden="1">'objectpagina''s'!$A$2:$H$2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" l="1"/>
  <c r="K5" i="3" s="1"/>
  <c r="H2" i="4"/>
  <c r="H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Dennis Wardenburg</author>
  </authors>
  <commentList>
    <comment ref="A3" authorId="0" shapeId="0" xr:uid="{19175E76-5B79-4080-8075-2095D6E80D92}">
      <text>
        <r>
          <rPr>
            <b/>
            <sz val="9"/>
            <color indexed="81"/>
            <rFont val="Tahoma"/>
            <family val="2"/>
          </rPr>
          <t>Dennis Wardenburg:</t>
        </r>
        <r>
          <rPr>
            <sz val="9"/>
            <color indexed="81"/>
            <rFont val="Tahoma"/>
            <family val="2"/>
          </rPr>
          <t xml:space="preserve">
Opzetten van een herbruikbare HTML-template voor alle pagina’s
CSS-styling en layout (inclusief consistente opmaak en leesbaarheid)
Inrichten van navigatiestructuur en menustructuur
Voorbereiden van vaste secties (zoals definitie, afbakening, etc.)</t>
        </r>
      </text>
    </comment>
    <comment ref="A4" authorId="0" shapeId="0" xr:uid="{C2D616FB-5F88-4596-965F-1BA3BABDB938}">
      <text>
        <r>
          <rPr>
            <b/>
            <sz val="9"/>
            <color indexed="81"/>
            <rFont val="Tahoma"/>
            <family val="2"/>
          </rPr>
          <t>Dennis Wardenburg:</t>
        </r>
        <r>
          <rPr>
            <sz val="9"/>
            <color indexed="81"/>
            <rFont val="Tahoma"/>
            <family val="2"/>
          </rPr>
          <t xml:space="preserve">
Structureren en invoeren van inhoud (definities, afbakening, kenmerken)
Controleren en verwerken van IMGEO/BGT-informatie (incl. iframe-integraties)
Toevoegen van interne links en navigatie
Controleren van consistentie tussen objecten
Uitvoeren van visuele en inhoudelijke checks per pagina
De tijdsinschatting is gebaseerd op gemiddeld ±45 minuten per pagina</t>
        </r>
      </text>
    </comment>
    <comment ref="A5" authorId="0" shapeId="0" xr:uid="{8AFBCFFE-7260-40C2-A62D-7D70CDA86C67}">
      <text>
        <r>
          <rPr>
            <b/>
            <sz val="9"/>
            <color indexed="81"/>
            <rFont val="Tahoma"/>
            <family val="2"/>
          </rPr>
          <t>Dennis Wardenburg:</t>
        </r>
        <r>
          <rPr>
            <sz val="9"/>
            <color indexed="81"/>
            <rFont val="Tahoma"/>
            <family val="2"/>
          </rPr>
          <t xml:space="preserve">
Startpagina
Leeswijzer en definities
Kwaliteit
Ruimtelijke Component (RC)
Functionele Gebieden (FG)
BGT-pakketten
Over dit handboek</t>
        </r>
      </text>
    </comment>
    <comment ref="A6" authorId="0" shapeId="0" xr:uid="{E736A755-6D90-4001-943D-3A34BC36A55C}">
      <text>
        <r>
          <rPr>
            <b/>
            <sz val="9"/>
            <color indexed="81"/>
            <rFont val="Tahoma"/>
            <family val="2"/>
          </rPr>
          <t>Dennis Wardenburg:</t>
        </r>
        <r>
          <rPr>
            <sz val="9"/>
            <color indexed="81"/>
            <rFont val="Tahoma"/>
            <family val="2"/>
          </rPr>
          <t xml:space="preserve">
Controleren van navigatie, links en samenhang tussen pagina’s
Doorvoeren van correcties en optimalisaties
Verwerken van feedback vanuit collega’s en interne afstemming
Algemene kwaliteitscontrole op consistentie en gebruiksvriendelijkheid</t>
        </r>
      </text>
    </comment>
  </commentList>
</comments>
</file>

<file path=xl/sharedStrings.xml><?xml version="1.0" encoding="utf-8"?>
<sst xmlns="http://schemas.openxmlformats.org/spreadsheetml/2006/main" count="254" uniqueCount="238">
  <si>
    <t>Week</t>
  </si>
  <si>
    <t>Planning / Taken</t>
  </si>
  <si>
    <t>Week 14</t>
  </si>
  <si>
    <t>BGT-objectenhandboek</t>
  </si>
  <si>
    <t>M2603-3353</t>
  </si>
  <si>
    <t>Week 15</t>
  </si>
  <si>
    <t>afronden FME-cursus, inplannen overleg Martijn</t>
  </si>
  <si>
    <t>Week 16</t>
  </si>
  <si>
    <t>Week 17</t>
  </si>
  <si>
    <t>Week 18</t>
  </si>
  <si>
    <t>Week 19</t>
  </si>
  <si>
    <t>Week 20</t>
  </si>
  <si>
    <t>Verlof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</si>
  <si>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</si>
  <si>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</si>
  <si>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</si>
  <si>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</si>
  <si>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</si>
  <si>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</si>
  <si>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</si>
  <si>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</si>
  <si>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</si>
  <si>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</si>
  <si>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</si>
  <si>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</si>
  <si>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</si>
  <si>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</si>
  <si>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</si>
  <si>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</si>
  <si>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Urenraming BGT-objectenhandboek (HTML)</t>
  </si>
  <si>
    <t>Onderdeel</t>
  </si>
  <si>
    <t>Inschatting</t>
  </si>
  <si>
    <t>Template &amp; structuur</t>
  </si>
  <si>
    <t>20–30 uur</t>
  </si>
  <si>
    <t>Objectpagina’s</t>
  </si>
  <si>
    <t>110–120 uur</t>
  </si>
  <si>
    <t>Infopagina’s</t>
  </si>
  <si>
    <t>25–35 uur</t>
  </si>
  <si>
    <t>Testen &amp; iteratie</t>
  </si>
  <si>
    <t>25–40 uur</t>
  </si>
  <si>
    <t>Totaal</t>
  </si>
  <si>
    <t>180–225 uur</t>
  </si>
  <si>
    <t>Deze ureninschatting is exclusief de geplande overleggen met de projectgroep:</t>
  </si>
  <si>
    <t>Inhoudelijke duiding van objecten</t>
  </si>
  <si>
    <t>Afstemming over interpretatie van BGT/IMGEO-regels</t>
  </si>
  <si>
    <t>Besluitvorming over keuzes binnen het handboek</t>
  </si>
  <si>
    <t>controle orthofoto's 2026, M2604-1062, M2604-0874, M2603-3353</t>
  </si>
  <si>
    <t>herzien procedure controle orthofoto's, FME</t>
  </si>
  <si>
    <t>controle orthofoto's 2026, toelichting FME (Martijn), M2603-3353, Kaartviewer (Kjell)</t>
  </si>
  <si>
    <t>Objectdeel</t>
  </si>
  <si>
    <t>BGT-functie</t>
  </si>
  <si>
    <t>IMGEO-classificatie</t>
  </si>
  <si>
    <t>In PDF</t>
  </si>
  <si>
    <t>HTML</t>
  </si>
  <si>
    <t>Batch</t>
  </si>
  <si>
    <t>gecontroleerd?</t>
  </si>
  <si>
    <t xml:space="preserve">Wegdeel </t>
  </si>
  <si>
    <t>rijbaan autosnelweg</t>
  </si>
  <si>
    <t>rijbaan autoweg</t>
  </si>
  <si>
    <t>rijbaan regionale weg</t>
  </si>
  <si>
    <t>verkeersdrempel</t>
  </si>
  <si>
    <t>verbindingsweg</t>
  </si>
  <si>
    <t>rijbaan lokale weg</t>
  </si>
  <si>
    <t>fietspad</t>
  </si>
  <si>
    <t xml:space="preserve">voetpad </t>
  </si>
  <si>
    <t>voetpad op trap</t>
  </si>
  <si>
    <t>ruiterpad</t>
  </si>
  <si>
    <t>parkeervlak</t>
  </si>
  <si>
    <t>voetgangersgebied</t>
  </si>
  <si>
    <t>inrit</t>
  </si>
  <si>
    <t>woonerf</t>
  </si>
  <si>
    <t>OV-baan</t>
  </si>
  <si>
    <t>calamiteitendoorsteek</t>
  </si>
  <si>
    <t>Ondersteunend wegdeel</t>
  </si>
  <si>
    <t>verkeerseiland</t>
  </si>
  <si>
    <t xml:space="preserve">berm </t>
  </si>
  <si>
    <t>Onbegroeid terreindeel</t>
  </si>
  <si>
    <t>Begroeid terreindeel</t>
  </si>
  <si>
    <t>Waterdeel</t>
  </si>
  <si>
    <t>greppel/droge sloot</t>
  </si>
  <si>
    <t>waterloop</t>
  </si>
  <si>
    <t>watervlakte</t>
  </si>
  <si>
    <t>beek</t>
  </si>
  <si>
    <t>gracht</t>
  </si>
  <si>
    <t>rivier</t>
  </si>
  <si>
    <t>Ondersteunend waterdeel</t>
  </si>
  <si>
    <t>oever/slootkant</t>
  </si>
  <si>
    <t>Pand</t>
  </si>
  <si>
    <t>Overig bouwwerk</t>
  </si>
  <si>
    <t>overkapping</t>
  </si>
  <si>
    <t>overkapping achter pand</t>
  </si>
  <si>
    <t>open loods</t>
  </si>
  <si>
    <t>opslagtank</t>
  </si>
  <si>
    <t>bezinkbak</t>
  </si>
  <si>
    <t>windturbine</t>
  </si>
  <si>
    <t>lage trafo</t>
  </si>
  <si>
    <t>bassin</t>
  </si>
  <si>
    <t>Scheiding</t>
  </si>
  <si>
    <t>muur</t>
  </si>
  <si>
    <t>kademuur</t>
  </si>
  <si>
    <t>damwand</t>
  </si>
  <si>
    <t>geluidsscherm</t>
  </si>
  <si>
    <t>walbescherming</t>
  </si>
  <si>
    <t>hek</t>
  </si>
  <si>
    <t>draadraster</t>
  </si>
  <si>
    <t>faunaraster</t>
  </si>
  <si>
    <t>Overbrugging(sdeel)</t>
  </si>
  <si>
    <t>brug (brug)</t>
  </si>
  <si>
    <t>aquaduct (brug)</t>
  </si>
  <si>
    <t>viaduct (brug)</t>
  </si>
  <si>
    <t>ecoduct (brug)</t>
  </si>
  <si>
    <t>dek (overbruggingsdeel)</t>
  </si>
  <si>
    <t>landhoofd (overbruggingsdeel)</t>
  </si>
  <si>
    <t>pijler (overbruggingsdeel)</t>
  </si>
  <si>
    <t>sloof (overbruggingsdeel)</t>
  </si>
  <si>
    <t>pyloon (overbruggingsdeel)</t>
  </si>
  <si>
    <t>Tunneldeel</t>
  </si>
  <si>
    <t>Kunstwerkdeel</t>
  </si>
  <si>
    <t>hoogspanningsmast</t>
  </si>
  <si>
    <t>gemaal</t>
  </si>
  <si>
    <t>perron</t>
  </si>
  <si>
    <t>sluis</t>
  </si>
  <si>
    <t>strekdam</t>
  </si>
  <si>
    <t>steiger</t>
  </si>
  <si>
    <t>stuw</t>
  </si>
  <si>
    <t>keermuur</t>
  </si>
  <si>
    <t>overkluizing</t>
  </si>
  <si>
    <t>duiker</t>
  </si>
  <si>
    <t>faunavoorziening</t>
  </si>
  <si>
    <t>Functioneel gebied</t>
  </si>
  <si>
    <t>kering</t>
  </si>
  <si>
    <t>bedrijvigheid</t>
  </si>
  <si>
    <t>natuur en landschap</t>
  </si>
  <si>
    <t>landbouw</t>
  </si>
  <si>
    <t>bewoning</t>
  </si>
  <si>
    <t>infrastructuur verkeer en vervoer</t>
  </si>
  <si>
    <t>infrastructuur waterstaatswerken</t>
  </si>
  <si>
    <t>waterbergingsgebied</t>
  </si>
  <si>
    <t>maatschappelijke en/of publieksvoorziening</t>
  </si>
  <si>
    <t>begraafplaats</t>
  </si>
  <si>
    <t>functioneel beheer</t>
  </si>
  <si>
    <t>functioneel beheer: hondenuitlaatplaats</t>
  </si>
  <si>
    <t>recreatie: speeltuin</t>
  </si>
  <si>
    <t>recreatie: park</t>
  </si>
  <si>
    <t>recreatie: sportterrein</t>
  </si>
  <si>
    <t>recreatie: camping</t>
  </si>
  <si>
    <t>recreatie: bungalowpark</t>
  </si>
  <si>
    <t>recreatie: volkstuin</t>
  </si>
  <si>
    <t>bushalte</t>
  </si>
  <si>
    <t>carpoolplaats</t>
  </si>
  <si>
    <t>benzinestation</t>
  </si>
  <si>
    <t>verzorgingsplaats</t>
  </si>
  <si>
    <t>Label</t>
  </si>
  <si>
    <t>Openbare ruimtelabel</t>
  </si>
  <si>
    <t>Huisnummerlabel</t>
  </si>
  <si>
    <t>Bak</t>
  </si>
  <si>
    <t>afval apart plaats</t>
  </si>
  <si>
    <t>afvalbak</t>
  </si>
  <si>
    <t>bloembak</t>
  </si>
  <si>
    <t>container</t>
  </si>
  <si>
    <t>Gebouwinstallatie</t>
  </si>
  <si>
    <t>luifel</t>
  </si>
  <si>
    <t>Kast</t>
  </si>
  <si>
    <t>rioolkast</t>
  </si>
  <si>
    <t>Put</t>
  </si>
  <si>
    <t>inspectie-/rioolput</t>
  </si>
  <si>
    <t>Straatmeubilair</t>
  </si>
  <si>
    <t>kunstobject</t>
  </si>
  <si>
    <t>speelvoorziening</t>
  </si>
  <si>
    <t>bank</t>
  </si>
  <si>
    <t>picknicktafel</t>
  </si>
  <si>
    <t>Vegetatieobject</t>
  </si>
  <si>
    <t>boom</t>
  </si>
  <si>
    <t>haag</t>
  </si>
  <si>
    <t>Weginrichtingselement</t>
  </si>
  <si>
    <t>wildrooster</t>
  </si>
  <si>
    <t>boomspiegel</t>
  </si>
  <si>
    <t>Registratief gebied</t>
  </si>
  <si>
    <t>OpenbareRuimte</t>
  </si>
  <si>
    <t>Buurt</t>
  </si>
  <si>
    <t>Wijk</t>
  </si>
  <si>
    <t>Stadsdeel</t>
  </si>
  <si>
    <t>Waterschap</t>
  </si>
  <si>
    <t>Totalen</t>
  </si>
  <si>
    <t>Bestede uren:</t>
  </si>
  <si>
    <t>Aantal pagina's gereed:</t>
  </si>
  <si>
    <t>Datum</t>
  </si>
  <si>
    <t>Index</t>
  </si>
  <si>
    <t>Functionele gebieden</t>
  </si>
  <si>
    <t>Over dit handboek</t>
  </si>
  <si>
    <t>Leeswijzer &amp; definities</t>
  </si>
  <si>
    <t>Ruimtelijke Component</t>
  </si>
  <si>
    <t>BGT-pakketten</t>
  </si>
  <si>
    <t>Kwaliteitskenmerken</t>
  </si>
  <si>
    <t>html-benaming</t>
  </si>
  <si>
    <t>index.html</t>
  </si>
  <si>
    <t>fg.html</t>
  </si>
  <si>
    <t>handboek.html</t>
  </si>
  <si>
    <t>leeswijzer.html</t>
  </si>
  <si>
    <t>rc.html</t>
  </si>
  <si>
    <t>pakketten.html</t>
  </si>
  <si>
    <t>kwaliteit.html</t>
  </si>
  <si>
    <t>versies en wijzigingen</t>
  </si>
  <si>
    <t>versie.html</t>
  </si>
  <si>
    <t>Infopagina's</t>
  </si>
  <si>
    <t>P2</t>
  </si>
  <si>
    <t>herzien procedure controle orthofoto's, FME, M2604-5709, BGT hoog over (Lesley)</t>
  </si>
  <si>
    <t>toegangstrap</t>
  </si>
  <si>
    <t>erf</t>
  </si>
  <si>
    <t>Toegangstrap</t>
  </si>
  <si>
    <t>API-verkenning, M2605-4507</t>
  </si>
  <si>
    <t>Overweg</t>
  </si>
  <si>
    <t>Spoorbaan</t>
  </si>
  <si>
    <t>BGT-objectenhandboek (infopagina's)</t>
  </si>
  <si>
    <t>BGT-objectenhandboek (batch 1)</t>
  </si>
  <si>
    <t>BGT-objectenhandboek (batch 2)</t>
  </si>
  <si>
    <t>BGT-objectenhandboek (batch 3)</t>
  </si>
  <si>
    <t>BGT-objectenhandboek (batch 5)</t>
  </si>
  <si>
    <t>BGT-objectenhandboek (batch 6)</t>
  </si>
  <si>
    <t>BGT-objectenhandboek (batch 7)</t>
  </si>
  <si>
    <t>haven</t>
  </si>
  <si>
    <t>schuur</t>
  </si>
  <si>
    <t>bunker</t>
  </si>
  <si>
    <t>voedersilo</t>
  </si>
  <si>
    <t>CSS/JS</t>
  </si>
  <si>
    <t>Bestede tijd</t>
  </si>
  <si>
    <t>API-verkenning, overleg Lesley KP, VKT QGIS,M2606-0700</t>
  </si>
  <si>
    <t>BGT-objectenhandboek (CSS/JS)</t>
  </si>
  <si>
    <t>QGIS KVP, applicatiebeheer (architectuur, handleidingen doornemen)</t>
  </si>
  <si>
    <t>M2606-0843, uitleg Martijn applicatiebeheer, QGIS KVP (dimensioning), positionering ortho</t>
  </si>
  <si>
    <t>drinkbak</t>
  </si>
  <si>
    <t>zand-/zoutbak</t>
  </si>
  <si>
    <t>kolk</t>
  </si>
  <si>
    <t>benzine-/olieput</t>
  </si>
  <si>
    <t>brandkraan/-put</t>
  </si>
  <si>
    <t>drainageput</t>
  </si>
  <si>
    <t>gasput</t>
  </si>
  <si>
    <t>waterleidingput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</si>
</sst>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 Light"/>
      <family val="2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b/>
      <sz val="11"/>
      <color theme="1"/>
      <name val="Calibri Light"/>
      <family val="2"/>
    </font>
    <font>
      <i/>
      <sz val="11"/>
      <color theme="1"/>
      <name val="Calibri Light"/>
      <family val="2"/>
    </font>
    <font>
      <b/>
      <sz val="12"/>
      <name val="Calibri Light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gray125">
        <fgColor theme="4" tint="-0.2499465926084170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16" fontId="1" fillId="0" borderId="1" xfId="0" applyNumberFormat="1" applyFont="1" applyBorder="1"/>
    <xf numFmtId="0" fontId="6" fillId="0" borderId="0" xfId="0" applyFont="1"/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1" xfId="0" applyFont="1" applyBorder="1"/>
    <xf numFmtId="0" fontId="6" fillId="0" borderId="1" xfId="0" applyFont="1" applyBorder="1"/>
    <xf numFmtId="0" fontId="6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0" xfId="0" applyFont="1"/>
    <xf numFmtId="0" fontId="6" fillId="1" borderId="1" xfId="0" applyFont="1" applyFill="1" applyBorder="1"/>
    <xf numFmtId="14" fontId="6" fillId="0" borderId="1" xfId="0" applyNumberFormat="1" applyFont="1" applyBorder="1"/>
    <xf numFmtId="0" fontId="11" fillId="3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1">
    <cellStyle name="Standaard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6B37D7-C445-4C95-A971-C1C4489C846B}" name="Tabel1" displayName="Tabel1" ref="A2:B7" totalsRowShown="0" headerRowDxfId="3" dataDxfId="2">
  <autoFilter ref="A2:B7" xr:uid="{446B37D7-C445-4C95-A971-C1C4489C846B}"/>
  <tableColumns count="2">
    <tableColumn id="1" xr3:uid="{03FF89E6-AE4F-4C81-B1E5-3F6C73DDA262}" name="Onderdeel" dataDxfId="1"/>
    <tableColumn id="2" xr3:uid="{B95B394A-CB92-40A0-B172-319BFD8FBAA6}" name="Inschat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1EC65-7112-49E2-B548-22E7D7793678}">
  <dimension ref="A1:D24"/>
  <sheetViews>
    <sheetView showGridLines="0" workbookViewId="0">
      <selection activeCell="D33" sqref="D33"/>
    </sheetView>
  </sheetViews>
  <sheetFormatPr defaultRowHeight="14.5" x14ac:dyDescent="0.35"/>
  <cols>
    <col min="2" max="2" width="12" customWidth="1"/>
    <col min="3" max="3" width="43.81640625" customWidth="1"/>
    <col min="4" max="4" width="80" customWidth="1"/>
  </cols>
  <sheetData>
    <row r="1" spans="1:4" ht="15.5" x14ac:dyDescent="0.35">
      <c r="A1" s="18"/>
      <c r="B1" s="18" t="s">
        <v>0</v>
      </c>
      <c r="C1" s="21" t="s">
        <v>1</v>
      </c>
      <c r="D1" s="22"/>
    </row>
    <row r="2" spans="1:4" x14ac:dyDescent="0.35">
      <c r="A2" s="7">
        <v>46111</v>
      </c>
      <c r="B2" s="1" t="s">
        <v>2</v>
      </c>
      <c r="C2" s="2" t="s">
        <v>3</v>
      </c>
      <c r="D2" s="2" t="s">
        <v>4</v>
      </c>
    </row>
    <row r="3" spans="1:4" x14ac:dyDescent="0.35">
      <c r="A3" s="7">
        <v>46118</v>
      </c>
      <c r="B3" s="1" t="s">
        <v>5</v>
      </c>
      <c r="C3" s="2" t="s">
        <v>213</v>
      </c>
      <c r="D3" s="2" t="s">
        <v>6</v>
      </c>
    </row>
    <row r="4" spans="1:4" x14ac:dyDescent="0.35">
      <c r="A4" s="7">
        <v>46125</v>
      </c>
      <c r="B4" s="1" t="s">
        <v>7</v>
      </c>
      <c r="C4" s="2" t="s">
        <v>213</v>
      </c>
      <c r="D4" s="2" t="s">
        <v>46</v>
      </c>
    </row>
    <row r="5" spans="1:4" x14ac:dyDescent="0.35">
      <c r="A5" s="7">
        <v>46132</v>
      </c>
      <c r="B5" s="1" t="s">
        <v>8</v>
      </c>
      <c r="C5" s="2" t="s">
        <v>213</v>
      </c>
      <c r="D5" s="2" t="s">
        <v>48</v>
      </c>
    </row>
    <row r="6" spans="1:4" x14ac:dyDescent="0.35">
      <c r="A6" s="7">
        <v>46139</v>
      </c>
      <c r="B6" s="1" t="s">
        <v>9</v>
      </c>
      <c r="C6" s="2" t="s">
        <v>214</v>
      </c>
      <c r="D6" s="2" t="s">
        <v>206</v>
      </c>
    </row>
    <row r="7" spans="1:4" x14ac:dyDescent="0.35">
      <c r="A7" s="7">
        <v>46146</v>
      </c>
      <c r="B7" s="1" t="s">
        <v>10</v>
      </c>
      <c r="C7" s="2" t="s">
        <v>215</v>
      </c>
      <c r="D7" s="2" t="s">
        <v>47</v>
      </c>
    </row>
    <row r="8" spans="1:4" x14ac:dyDescent="0.35">
      <c r="A8" s="7">
        <v>46153</v>
      </c>
      <c r="B8" s="1" t="s">
        <v>11</v>
      </c>
      <c r="C8" s="3" t="s">
        <v>12</v>
      </c>
      <c r="D8" s="3" t="s">
        <v>12</v>
      </c>
    </row>
    <row r="9" spans="1:4" x14ac:dyDescent="0.35">
      <c r="A9" s="7">
        <v>46160</v>
      </c>
      <c r="B9" s="1" t="s">
        <v>13</v>
      </c>
      <c r="C9" s="3" t="s">
        <v>12</v>
      </c>
      <c r="D9" s="3" t="s">
        <v>12</v>
      </c>
    </row>
    <row r="10" spans="1:4" x14ac:dyDescent="0.35">
      <c r="A10" s="7">
        <v>46167</v>
      </c>
      <c r="B10" s="1" t="s">
        <v>14</v>
      </c>
      <c r="C10" s="2" t="s">
        <v>216</v>
      </c>
      <c r="D10" s="2" t="s">
        <v>210</v>
      </c>
    </row>
    <row r="11" spans="1:4" x14ac:dyDescent="0.35">
      <c r="A11" s="7">
        <v>46174</v>
      </c>
      <c r="B11" s="1" t="s">
        <v>15</v>
      </c>
      <c r="C11" s="2" t="s">
        <v>216</v>
      </c>
      <c r="D11" s="2" t="s">
        <v>226</v>
      </c>
    </row>
    <row r="12" spans="1:4" x14ac:dyDescent="0.35">
      <c r="A12" s="7">
        <v>46181</v>
      </c>
      <c r="B12" s="1" t="s">
        <v>16</v>
      </c>
      <c r="C12" s="2" t="s">
        <v>217</v>
      </c>
      <c r="D12" s="2" t="s">
        <v>229</v>
      </c>
    </row>
    <row r="13" spans="1:4" x14ac:dyDescent="0.35">
      <c r="A13" s="7">
        <v>46188</v>
      </c>
      <c r="B13" s="1" t="s">
        <v>17</v>
      </c>
      <c r="C13" s="2" t="s">
        <v>227</v>
      </c>
      <c r="D13" s="2" t="s">
        <v>228</v>
      </c>
    </row>
    <row r="14" spans="1:4" x14ac:dyDescent="0.35">
      <c r="A14" s="7">
        <v>46195</v>
      </c>
      <c r="B14" s="1" t="s">
        <v>18</v>
      </c>
      <c r="C14" s="2" t="s">
        <v>218</v>
      </c>
      <c r="D14" s="2"/>
    </row>
    <row r="15" spans="1:4" x14ac:dyDescent="0.35">
      <c r="A15" s="7">
        <v>46202</v>
      </c>
      <c r="B15" s="1" t="s">
        <v>19</v>
      </c>
      <c r="C15" s="2" t="s">
        <v>218</v>
      </c>
      <c r="D15" s="2"/>
    </row>
    <row r="16" spans="1:4" x14ac:dyDescent="0.35">
      <c r="A16" s="7">
        <v>46209</v>
      </c>
      <c r="B16" s="1" t="s">
        <v>20</v>
      </c>
      <c r="C16" s="2" t="s">
        <v>219</v>
      </c>
      <c r="D16" s="2"/>
    </row>
    <row r="17" spans="1:4" x14ac:dyDescent="0.35">
      <c r="A17" s="7">
        <v>46216</v>
      </c>
      <c r="B17" s="1" t="s">
        <v>21</v>
      </c>
      <c r="C17" s="2" t="s">
        <v>219</v>
      </c>
      <c r="D17" s="2"/>
    </row>
    <row r="18" spans="1:4" x14ac:dyDescent="0.35">
      <c r="A18" s="7">
        <v>46223</v>
      </c>
      <c r="B18" s="1" t="s">
        <v>22</v>
      </c>
      <c r="C18" s="2"/>
      <c r="D18" s="2"/>
    </row>
    <row r="19" spans="1:4" x14ac:dyDescent="0.35">
      <c r="A19" s="7">
        <v>46230</v>
      </c>
      <c r="B19" s="1" t="s">
        <v>23</v>
      </c>
      <c r="C19" s="2"/>
      <c r="D19" s="2"/>
    </row>
    <row r="20" spans="1:4" x14ac:dyDescent="0.35">
      <c r="A20" s="7">
        <v>46237</v>
      </c>
      <c r="B20" s="1" t="s">
        <v>24</v>
      </c>
      <c r="C20" s="2"/>
      <c r="D20" s="2"/>
    </row>
    <row r="21" spans="1:4" x14ac:dyDescent="0.35">
      <c r="A21" s="7">
        <v>46244</v>
      </c>
      <c r="B21" s="1" t="s">
        <v>25</v>
      </c>
      <c r="C21" s="2"/>
      <c r="D21" s="2"/>
    </row>
    <row r="22" spans="1:4" x14ac:dyDescent="0.35">
      <c r="A22" s="7">
        <v>46251</v>
      </c>
      <c r="B22" s="1" t="s">
        <v>26</v>
      </c>
      <c r="C22" s="2"/>
      <c r="D22" s="2"/>
    </row>
    <row r="23" spans="1:4" x14ac:dyDescent="0.35">
      <c r="A23" s="7">
        <v>46258</v>
      </c>
      <c r="B23" s="1" t="s">
        <v>27</v>
      </c>
      <c r="C23" s="2"/>
      <c r="D23" s="2"/>
    </row>
    <row r="24" spans="1:4" x14ac:dyDescent="0.35">
      <c r="A24" s="7">
        <v>46265</v>
      </c>
      <c r="B24" s="1" t="s">
        <v>28</v>
      </c>
      <c r="C24" s="2"/>
      <c r="D24" s="2"/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6C17-F71F-4E79-A6E3-783278BA2FD2}">
  <dimension ref="A1:B13"/>
  <sheetViews>
    <sheetView showGridLines="0" workbookViewId="0">
      <selection activeCell="A2" sqref="A2"/>
    </sheetView>
  </sheetViews>
  <sheetFormatPr defaultRowHeight="14.5" x14ac:dyDescent="0.35"/>
  <cols>
    <col min="1" max="1" width="72" customWidth="1"/>
    <col min="2" max="2" width="15.26953125" customWidth="1"/>
  </cols>
  <sheetData>
    <row r="1" spans="1:2" ht="17.5" x14ac:dyDescent="0.35">
      <c r="A1" s="4" t="s">
        <v>29</v>
      </c>
    </row>
    <row r="2" spans="1:2" ht="15.5" x14ac:dyDescent="0.35">
      <c r="A2" s="18" t="s">
        <v>30</v>
      </c>
      <c r="B2" s="18" t="s">
        <v>31</v>
      </c>
    </row>
    <row r="3" spans="1:2" x14ac:dyDescent="0.35">
      <c r="A3" s="19" t="s">
        <v>32</v>
      </c>
      <c r="B3" s="19" t="s">
        <v>33</v>
      </c>
    </row>
    <row r="4" spans="1:2" x14ac:dyDescent="0.35">
      <c r="A4" s="19" t="s">
        <v>34</v>
      </c>
      <c r="B4" s="19" t="s">
        <v>35</v>
      </c>
    </row>
    <row r="5" spans="1:2" x14ac:dyDescent="0.35">
      <c r="A5" s="19" t="s">
        <v>36</v>
      </c>
      <c r="B5" s="19" t="s">
        <v>37</v>
      </c>
    </row>
    <row r="6" spans="1:2" x14ac:dyDescent="0.35">
      <c r="A6" s="19" t="s">
        <v>38</v>
      </c>
      <c r="B6" s="19" t="s">
        <v>39</v>
      </c>
    </row>
    <row r="7" spans="1:2" x14ac:dyDescent="0.35">
      <c r="A7" s="20" t="s">
        <v>40</v>
      </c>
      <c r="B7" s="20" t="s">
        <v>41</v>
      </c>
    </row>
    <row r="9" spans="1:2" x14ac:dyDescent="0.35">
      <c r="A9" s="5" t="s">
        <v>42</v>
      </c>
    </row>
    <row r="10" spans="1:2" x14ac:dyDescent="0.35">
      <c r="A10" s="6"/>
    </row>
    <row r="11" spans="1:2" x14ac:dyDescent="0.35">
      <c r="A11" s="6" t="s">
        <v>43</v>
      </c>
    </row>
    <row r="12" spans="1:2" x14ac:dyDescent="0.35">
      <c r="A12" s="6" t="s">
        <v>44</v>
      </c>
    </row>
    <row r="13" spans="1:2" x14ac:dyDescent="0.35">
      <c r="A13" s="6" t="s">
        <v>45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6FF5-0C49-4A3E-97AE-E69E119D150E}">
  <dimension ref="A2:L180"/>
  <sheetViews>
    <sheetView showGridLines="0" tabSelected="1" workbookViewId="0">
      <pane ySplit="2" topLeftCell="A116" activePane="bottomLeft" state="frozen"/>
      <selection pane="bottomLeft" activeCell="H160" sqref="H160"/>
    </sheetView>
  </sheetViews>
  <sheetFormatPr defaultColWidth="9.1796875" defaultRowHeight="14.5" x14ac:dyDescent="0.35"/>
  <cols>
    <col min="1" max="1" width="28.54296875" style="8" customWidth="1"/>
    <col min="2" max="2" width="33" style="8" bestFit="1" customWidth="1"/>
    <col min="3" max="3" width="39.453125" style="8" bestFit="1" customWidth="1"/>
    <col min="4" max="4" width="10.54296875" style="8" hidden="1" customWidth="1"/>
    <col min="5" max="5" width="11.54296875" style="8" customWidth="1"/>
    <col min="6" max="6" width="10.7265625" style="8" customWidth="1"/>
    <col min="7" max="7" width="10.81640625" style="8" customWidth="1"/>
    <col min="8" max="8" width="19.54296875" style="8" customWidth="1"/>
    <col min="9" max="9" width="9.1796875" style="8"/>
    <col min="10" max="10" width="22.7265625" style="8" customWidth="1"/>
    <col min="11" max="16384" width="9.1796875" style="8"/>
  </cols>
  <sheetData>
    <row r="2" spans="1:12" s="11" customFormat="1" ht="21.65" customHeight="1" x14ac:dyDescent="0.35">
      <c r="A2" s="9" t="s">
        <v>49</v>
      </c>
      <c r="B2" s="9" t="s">
        <v>50</v>
      </c>
      <c r="C2" s="9" t="s">
        <v>51</v>
      </c>
      <c r="D2" s="10" t="s">
        <v>205</v>
      </c>
      <c r="E2" s="10" t="s">
        <v>52</v>
      </c>
      <c r="F2" s="10" t="s">
        <v>53</v>
      </c>
      <c r="G2" s="10" t="s">
        <v>54</v>
      </c>
      <c r="H2" s="10" t="s">
        <v>55</v>
      </c>
    </row>
    <row r="3" spans="1:12" ht="15.5" x14ac:dyDescent="0.35">
      <c r="A3" s="12" t="s">
        <v>56</v>
      </c>
      <c r="B3" s="13" t="s">
        <v>57</v>
      </c>
      <c r="C3" s="13"/>
      <c r="D3" s="14" t="b">
        <v>1</v>
      </c>
      <c r="E3" s="14" t="b">
        <v>1</v>
      </c>
      <c r="F3" s="14" t="b">
        <v>1</v>
      </c>
      <c r="G3" s="13">
        <v>1</v>
      </c>
      <c r="H3" s="14" t="b">
        <v>1</v>
      </c>
      <c r="I3" s="15"/>
      <c r="J3" s="23" t="s">
        <v>183</v>
      </c>
      <c r="K3" s="23"/>
      <c r="L3" s="15"/>
    </row>
    <row r="4" spans="1:12" x14ac:dyDescent="0.35">
      <c r="A4" s="13"/>
      <c r="B4" s="13" t="s">
        <v>58</v>
      </c>
      <c r="C4" s="13"/>
      <c r="D4" s="14" t="b">
        <v>1</v>
      </c>
      <c r="E4" s="14" t="b">
        <v>0</v>
      </c>
      <c r="F4" s="14" t="b">
        <v>0</v>
      </c>
      <c r="G4" s="13"/>
      <c r="H4" s="14" t="b">
        <v>0</v>
      </c>
      <c r="I4" s="15"/>
      <c r="J4" s="13" t="s">
        <v>185</v>
      </c>
      <c r="K4" s="12">
        <f>COUNT(G3:G228)</f>
        <v>67</v>
      </c>
      <c r="L4" s="15"/>
    </row>
    <row r="5" spans="1:12" x14ac:dyDescent="0.35">
      <c r="A5" s="13"/>
      <c r="B5" s="13" t="s">
        <v>59</v>
      </c>
      <c r="C5" s="13"/>
      <c r="D5" s="14" t="b">
        <v>1</v>
      </c>
      <c r="E5" s="14" t="b">
        <v>0</v>
      </c>
      <c r="F5" s="14" t="b">
        <v>1</v>
      </c>
      <c r="G5" s="13">
        <v>1</v>
      </c>
      <c r="H5" s="14" t="b">
        <v>0</v>
      </c>
      <c r="I5" s="15"/>
      <c r="J5" s="13" t="s">
        <v>184</v>
      </c>
      <c r="K5" s="12">
        <f>K4*45/60</f>
        <v>50.25</v>
      </c>
      <c r="L5" s="15"/>
    </row>
    <row r="6" spans="1:12" x14ac:dyDescent="0.35">
      <c r="A6" s="13"/>
      <c r="B6" s="13"/>
      <c r="C6" s="13" t="s">
        <v>60</v>
      </c>
      <c r="D6" s="14" t="b">
        <v>1</v>
      </c>
      <c r="E6" s="14" t="b">
        <v>1</v>
      </c>
      <c r="F6" s="14" t="b">
        <v>0</v>
      </c>
      <c r="G6" s="13"/>
      <c r="H6" s="14" t="b">
        <v>0</v>
      </c>
      <c r="I6" s="15"/>
      <c r="J6" s="15"/>
      <c r="K6" s="15"/>
      <c r="L6" s="15"/>
    </row>
    <row r="7" spans="1:12" x14ac:dyDescent="0.35">
      <c r="A7" s="13"/>
      <c r="B7" s="13"/>
      <c r="C7" s="13" t="s">
        <v>61</v>
      </c>
      <c r="D7" s="14" t="b">
        <v>1</v>
      </c>
      <c r="E7" s="14" t="b">
        <v>0</v>
      </c>
      <c r="F7" s="14" t="b">
        <v>0</v>
      </c>
      <c r="G7" s="13"/>
      <c r="H7" s="14" t="b">
        <v>0</v>
      </c>
      <c r="I7" s="15"/>
      <c r="J7" s="15"/>
      <c r="K7" s="15"/>
      <c r="L7" s="15"/>
    </row>
    <row r="8" spans="1:12" x14ac:dyDescent="0.35">
      <c r="A8" s="13"/>
      <c r="B8" s="13" t="s">
        <v>62</v>
      </c>
      <c r="C8" s="13"/>
      <c r="D8" s="14" t="b">
        <v>1</v>
      </c>
      <c r="E8" s="14" t="b">
        <v>0</v>
      </c>
      <c r="F8" s="14" t="b">
        <v>1</v>
      </c>
      <c r="G8" s="13">
        <v>1</v>
      </c>
      <c r="H8" s="14" t="b">
        <v>1</v>
      </c>
    </row>
    <row r="9" spans="1:12" x14ac:dyDescent="0.35">
      <c r="A9" s="13"/>
      <c r="B9" s="13"/>
      <c r="C9" s="13" t="s">
        <v>60</v>
      </c>
      <c r="D9" s="14" t="b">
        <v>1</v>
      </c>
      <c r="E9" s="14" t="b">
        <v>1</v>
      </c>
      <c r="F9" s="14" t="b">
        <v>0</v>
      </c>
      <c r="G9" s="13"/>
      <c r="H9" s="14" t="b">
        <v>0</v>
      </c>
    </row>
    <row r="10" spans="1:12" x14ac:dyDescent="0.35">
      <c r="A10" s="13"/>
      <c r="B10" s="13" t="s">
        <v>63</v>
      </c>
      <c r="C10" s="13"/>
      <c r="D10" s="14" t="b">
        <v>1</v>
      </c>
      <c r="E10" s="14" t="b">
        <v>0</v>
      </c>
      <c r="F10" s="14" t="b">
        <v>1</v>
      </c>
      <c r="G10" s="13">
        <v>1</v>
      </c>
      <c r="H10" s="14" t="b">
        <v>1</v>
      </c>
    </row>
    <row r="11" spans="1:12" x14ac:dyDescent="0.35">
      <c r="A11" s="13"/>
      <c r="B11" s="13" t="s">
        <v>64</v>
      </c>
      <c r="C11" s="13"/>
      <c r="D11" s="14" t="b">
        <v>1</v>
      </c>
      <c r="E11" s="14" t="b">
        <v>0</v>
      </c>
      <c r="F11" s="14" t="b">
        <v>1</v>
      </c>
      <c r="G11" s="13">
        <v>2</v>
      </c>
      <c r="H11" s="14" t="b">
        <v>1</v>
      </c>
    </row>
    <row r="12" spans="1:12" x14ac:dyDescent="0.35">
      <c r="A12" s="13"/>
      <c r="B12" s="13" t="s">
        <v>65</v>
      </c>
      <c r="C12" s="13"/>
      <c r="D12" s="14" t="b">
        <v>1</v>
      </c>
      <c r="E12" s="14" t="b">
        <v>0</v>
      </c>
      <c r="F12" s="14" t="b">
        <v>1</v>
      </c>
      <c r="G12" s="13">
        <v>1</v>
      </c>
      <c r="H12" s="14" t="b">
        <v>1</v>
      </c>
    </row>
    <row r="13" spans="1:12" x14ac:dyDescent="0.35">
      <c r="A13" s="13"/>
      <c r="B13" s="13" t="s">
        <v>66</v>
      </c>
      <c r="C13" s="13"/>
      <c r="D13" s="14" t="b">
        <v>1</v>
      </c>
      <c r="E13" s="14" t="b">
        <v>0</v>
      </c>
      <c r="F13" s="14" t="b">
        <v>1</v>
      </c>
      <c r="G13" s="13">
        <v>1</v>
      </c>
      <c r="H13" s="14" t="b">
        <v>1</v>
      </c>
    </row>
    <row r="14" spans="1:12" x14ac:dyDescent="0.35">
      <c r="A14" s="13"/>
      <c r="B14" s="13" t="s">
        <v>67</v>
      </c>
      <c r="C14" s="13"/>
      <c r="D14" s="14" t="b">
        <v>1</v>
      </c>
      <c r="E14" s="14" t="b">
        <v>1</v>
      </c>
      <c r="F14" s="14" t="b">
        <v>1</v>
      </c>
      <c r="G14" s="13">
        <v>1</v>
      </c>
      <c r="H14" s="14" t="b">
        <v>1</v>
      </c>
    </row>
    <row r="15" spans="1:12" x14ac:dyDescent="0.35">
      <c r="A15" s="13"/>
      <c r="B15" s="13" t="s">
        <v>68</v>
      </c>
      <c r="C15" s="13"/>
      <c r="D15" s="14" t="b">
        <v>1</v>
      </c>
      <c r="E15" s="14" t="b">
        <v>0</v>
      </c>
      <c r="F15" s="14" t="b">
        <v>1</v>
      </c>
      <c r="G15" s="13">
        <v>1</v>
      </c>
      <c r="H15" s="14" t="b">
        <v>1</v>
      </c>
    </row>
    <row r="16" spans="1:12" x14ac:dyDescent="0.35">
      <c r="A16" s="13"/>
      <c r="B16" s="13" t="s">
        <v>69</v>
      </c>
      <c r="C16" s="13"/>
      <c r="D16" s="14" t="b">
        <v>1</v>
      </c>
      <c r="E16" s="14" t="b">
        <v>0</v>
      </c>
      <c r="F16" s="14" t="b">
        <v>1</v>
      </c>
      <c r="G16" s="13">
        <v>2</v>
      </c>
      <c r="H16" s="14" t="b">
        <v>1</v>
      </c>
    </row>
    <row r="17" spans="1:8" x14ac:dyDescent="0.35">
      <c r="A17" s="13"/>
      <c r="B17" s="13" t="s">
        <v>70</v>
      </c>
      <c r="C17" s="13"/>
      <c r="D17" s="14" t="b">
        <v>1</v>
      </c>
      <c r="E17" s="14" t="b">
        <v>0</v>
      </c>
      <c r="F17" s="14" t="b">
        <v>1</v>
      </c>
      <c r="G17" s="13">
        <v>1</v>
      </c>
      <c r="H17" s="14" t="b">
        <v>1</v>
      </c>
    </row>
    <row r="18" spans="1:8" x14ac:dyDescent="0.35">
      <c r="A18" s="13"/>
      <c r="B18" s="13" t="s">
        <v>71</v>
      </c>
      <c r="C18" s="13"/>
      <c r="D18" s="14" t="b">
        <v>0</v>
      </c>
      <c r="E18" s="14" t="b">
        <v>0</v>
      </c>
      <c r="F18" s="14" t="b">
        <v>1</v>
      </c>
      <c r="G18" s="13">
        <v>2</v>
      </c>
      <c r="H18" s="14" t="b">
        <v>0</v>
      </c>
    </row>
    <row r="19" spans="1:8" x14ac:dyDescent="0.35">
      <c r="A19" s="13"/>
      <c r="B19" s="13"/>
      <c r="C19" s="13" t="s">
        <v>72</v>
      </c>
      <c r="D19" s="14" t="b">
        <v>1</v>
      </c>
      <c r="E19" s="14" t="b">
        <v>0</v>
      </c>
      <c r="F19" s="14" t="b">
        <v>0</v>
      </c>
      <c r="G19" s="13"/>
      <c r="H19" s="14" t="b">
        <v>0</v>
      </c>
    </row>
    <row r="20" spans="1:8" x14ac:dyDescent="0.35">
      <c r="A20" s="13"/>
      <c r="B20" s="13" t="s">
        <v>211</v>
      </c>
      <c r="C20" s="13"/>
      <c r="D20" s="14" t="b">
        <v>0</v>
      </c>
      <c r="E20" s="14" t="b">
        <v>1</v>
      </c>
      <c r="F20" s="14" t="b">
        <v>1</v>
      </c>
      <c r="G20" s="13">
        <v>3</v>
      </c>
      <c r="H20" s="14" t="b">
        <v>0</v>
      </c>
    </row>
    <row r="21" spans="1:8" x14ac:dyDescent="0.35">
      <c r="A21" s="13"/>
      <c r="B21" s="13" t="s">
        <v>212</v>
      </c>
      <c r="C21" s="13"/>
      <c r="D21" s="14" t="b">
        <v>0</v>
      </c>
      <c r="E21" s="14" t="b">
        <v>1</v>
      </c>
      <c r="F21" s="14" t="b">
        <v>1</v>
      </c>
      <c r="G21" s="13">
        <v>3</v>
      </c>
      <c r="H21" s="14" t="b">
        <v>0</v>
      </c>
    </row>
    <row r="22" spans="1:8" x14ac:dyDescent="0.35">
      <c r="A22" s="16"/>
      <c r="B22" s="16"/>
      <c r="C22" s="16"/>
      <c r="D22" s="16"/>
      <c r="E22" s="16"/>
      <c r="F22" s="16"/>
      <c r="G22" s="16"/>
      <c r="H22" s="16"/>
    </row>
    <row r="23" spans="1:8" x14ac:dyDescent="0.35">
      <c r="A23" s="12" t="s">
        <v>73</v>
      </c>
      <c r="B23" s="13" t="s">
        <v>74</v>
      </c>
      <c r="C23" s="13"/>
      <c r="D23" s="14" t="b">
        <v>1</v>
      </c>
      <c r="E23" s="14" t="b">
        <v>1</v>
      </c>
      <c r="F23" s="14" t="b">
        <v>1</v>
      </c>
      <c r="G23" s="13">
        <v>3</v>
      </c>
      <c r="H23" s="14" t="b">
        <v>0</v>
      </c>
    </row>
    <row r="24" spans="1:8" x14ac:dyDescent="0.35">
      <c r="A24" s="13"/>
      <c r="B24" s="13" t="s">
        <v>75</v>
      </c>
      <c r="C24" s="13"/>
      <c r="D24" s="14" t="b">
        <v>1</v>
      </c>
      <c r="E24" s="14" t="b">
        <v>1</v>
      </c>
      <c r="F24" s="14" t="b">
        <v>1</v>
      </c>
      <c r="G24" s="13">
        <v>3</v>
      </c>
      <c r="H24" s="14" t="b">
        <v>0</v>
      </c>
    </row>
    <row r="25" spans="1:8" x14ac:dyDescent="0.35">
      <c r="A25" s="16"/>
      <c r="B25" s="16"/>
      <c r="C25" s="16"/>
      <c r="D25" s="16"/>
      <c r="E25" s="16"/>
      <c r="F25" s="16"/>
      <c r="G25" s="16"/>
      <c r="H25" s="16"/>
    </row>
    <row r="26" spans="1:8" x14ac:dyDescent="0.35">
      <c r="A26" s="12" t="s">
        <v>76</v>
      </c>
      <c r="B26" s="13"/>
      <c r="C26" s="13"/>
      <c r="D26" s="14" t="b">
        <v>1</v>
      </c>
      <c r="E26" s="14" t="b">
        <v>1</v>
      </c>
      <c r="F26" s="14" t="b">
        <v>0</v>
      </c>
      <c r="G26" s="13"/>
      <c r="H26" s="14" t="b">
        <v>0</v>
      </c>
    </row>
    <row r="27" spans="1:8" x14ac:dyDescent="0.35">
      <c r="A27" s="13"/>
      <c r="B27" s="13" t="s">
        <v>208</v>
      </c>
      <c r="C27" s="13"/>
      <c r="D27" s="14" t="b">
        <v>1</v>
      </c>
      <c r="E27" s="14" t="b">
        <v>0</v>
      </c>
      <c r="F27" s="14" t="b">
        <v>1</v>
      </c>
      <c r="G27" s="13">
        <v>2</v>
      </c>
      <c r="H27" s="14" t="b">
        <v>1</v>
      </c>
    </row>
    <row r="28" spans="1:8" x14ac:dyDescent="0.35">
      <c r="A28" s="16"/>
      <c r="B28" s="16"/>
      <c r="C28" s="16"/>
      <c r="D28" s="16"/>
      <c r="E28" s="16"/>
      <c r="F28" s="16"/>
      <c r="G28" s="16"/>
      <c r="H28" s="16"/>
    </row>
    <row r="29" spans="1:8" x14ac:dyDescent="0.35">
      <c r="A29" s="12" t="s">
        <v>77</v>
      </c>
      <c r="B29" s="13"/>
      <c r="C29" s="13"/>
      <c r="D29" s="14" t="b">
        <v>1</v>
      </c>
      <c r="E29" s="14" t="b">
        <v>1</v>
      </c>
      <c r="F29" s="14" t="b">
        <v>1</v>
      </c>
      <c r="G29" s="13">
        <v>2</v>
      </c>
      <c r="H29" s="14" t="b">
        <v>1</v>
      </c>
    </row>
    <row r="30" spans="1:8" x14ac:dyDescent="0.35">
      <c r="A30" s="12"/>
      <c r="B30" s="13"/>
      <c r="C30" s="13"/>
      <c r="D30" s="14" t="b">
        <v>0</v>
      </c>
      <c r="E30" s="14" t="b">
        <v>0</v>
      </c>
      <c r="F30" s="14" t="b">
        <v>0</v>
      </c>
      <c r="G30" s="13"/>
      <c r="H30" s="14" t="b">
        <v>0</v>
      </c>
    </row>
    <row r="31" spans="1:8" x14ac:dyDescent="0.35">
      <c r="A31" s="12"/>
      <c r="B31" s="13"/>
      <c r="C31" s="13"/>
      <c r="D31" s="14" t="b">
        <v>0</v>
      </c>
      <c r="E31" s="14" t="b">
        <v>0</v>
      </c>
      <c r="F31" s="14" t="b">
        <v>0</v>
      </c>
      <c r="G31" s="13"/>
      <c r="H31" s="14" t="b">
        <v>0</v>
      </c>
    </row>
    <row r="32" spans="1:8" x14ac:dyDescent="0.35">
      <c r="A32" s="12"/>
      <c r="B32" s="13"/>
      <c r="C32" s="13"/>
      <c r="D32" s="14" t="b">
        <v>0</v>
      </c>
      <c r="E32" s="14" t="b">
        <v>0</v>
      </c>
      <c r="F32" s="14" t="b">
        <v>0</v>
      </c>
      <c r="G32" s="13"/>
      <c r="H32" s="14" t="b">
        <v>0</v>
      </c>
    </row>
    <row r="33" spans="1:8" x14ac:dyDescent="0.35">
      <c r="A33" s="12"/>
      <c r="B33" s="13"/>
      <c r="C33" s="13"/>
      <c r="D33" s="14" t="b">
        <v>0</v>
      </c>
      <c r="E33" s="14" t="b">
        <v>0</v>
      </c>
      <c r="F33" s="14" t="b">
        <v>0</v>
      </c>
      <c r="G33" s="13"/>
      <c r="H33" s="14" t="b">
        <v>0</v>
      </c>
    </row>
    <row r="34" spans="1:8" x14ac:dyDescent="0.35">
      <c r="A34" s="12"/>
      <c r="B34" s="13"/>
      <c r="C34" s="13"/>
      <c r="D34" s="14" t="b">
        <v>0</v>
      </c>
      <c r="E34" s="14" t="b">
        <v>0</v>
      </c>
      <c r="F34" s="14" t="b">
        <v>0</v>
      </c>
      <c r="G34" s="13"/>
      <c r="H34" s="14" t="b">
        <v>0</v>
      </c>
    </row>
    <row r="35" spans="1:8" x14ac:dyDescent="0.35">
      <c r="A35" s="12"/>
      <c r="B35" s="13"/>
      <c r="C35" s="13"/>
      <c r="D35" s="14" t="b">
        <v>0</v>
      </c>
      <c r="E35" s="14" t="b">
        <v>0</v>
      </c>
      <c r="F35" s="14" t="b">
        <v>0</v>
      </c>
      <c r="G35" s="13"/>
      <c r="H35" s="14" t="b">
        <v>0</v>
      </c>
    </row>
    <row r="36" spans="1:8" x14ac:dyDescent="0.35">
      <c r="A36" s="12"/>
      <c r="B36" s="13"/>
      <c r="C36" s="13"/>
      <c r="D36" s="14" t="b">
        <v>0</v>
      </c>
      <c r="E36" s="14" t="b">
        <v>0</v>
      </c>
      <c r="F36" s="14" t="b">
        <v>0</v>
      </c>
      <c r="G36" s="13"/>
      <c r="H36" s="14" t="b">
        <v>0</v>
      </c>
    </row>
    <row r="37" spans="1:8" x14ac:dyDescent="0.35">
      <c r="A37" s="12"/>
      <c r="B37" s="13"/>
      <c r="C37" s="13"/>
      <c r="D37" s="14" t="b">
        <v>0</v>
      </c>
      <c r="E37" s="14" t="b">
        <v>0</v>
      </c>
      <c r="F37" s="14" t="b">
        <v>0</v>
      </c>
      <c r="G37" s="13"/>
      <c r="H37" s="14" t="b">
        <v>0</v>
      </c>
    </row>
    <row r="38" spans="1:8" x14ac:dyDescent="0.35">
      <c r="A38" s="12"/>
      <c r="B38" s="13"/>
      <c r="C38" s="13"/>
      <c r="D38" s="14" t="b">
        <v>0</v>
      </c>
      <c r="E38" s="14" t="b">
        <v>0</v>
      </c>
      <c r="F38" s="14" t="b">
        <v>0</v>
      </c>
      <c r="G38" s="13"/>
      <c r="H38" s="14" t="b">
        <v>0</v>
      </c>
    </row>
    <row r="39" spans="1:8" x14ac:dyDescent="0.35">
      <c r="A39" s="12"/>
      <c r="B39" s="13"/>
      <c r="C39" s="13"/>
      <c r="D39" s="14" t="b">
        <v>0</v>
      </c>
      <c r="E39" s="14" t="b">
        <v>0</v>
      </c>
      <c r="F39" s="14" t="b">
        <v>0</v>
      </c>
      <c r="G39" s="13"/>
      <c r="H39" s="14" t="b">
        <v>0</v>
      </c>
    </row>
    <row r="40" spans="1:8" x14ac:dyDescent="0.35">
      <c r="A40" s="12"/>
      <c r="B40" s="13"/>
      <c r="C40" s="13"/>
      <c r="D40" s="14" t="b">
        <v>0</v>
      </c>
      <c r="E40" s="14" t="b">
        <v>0</v>
      </c>
      <c r="F40" s="14" t="b">
        <v>0</v>
      </c>
      <c r="G40" s="13"/>
      <c r="H40" s="14" t="b">
        <v>0</v>
      </c>
    </row>
    <row r="41" spans="1:8" x14ac:dyDescent="0.35">
      <c r="A41" s="12"/>
      <c r="B41" s="13"/>
      <c r="C41" s="13"/>
      <c r="D41" s="14" t="b">
        <v>0</v>
      </c>
      <c r="E41" s="14" t="b">
        <v>0</v>
      </c>
      <c r="F41" s="14" t="b">
        <v>0</v>
      </c>
      <c r="G41" s="13"/>
      <c r="H41" s="14" t="b">
        <v>0</v>
      </c>
    </row>
    <row r="42" spans="1:8" x14ac:dyDescent="0.35">
      <c r="A42" s="12"/>
      <c r="B42" s="13"/>
      <c r="C42" s="13"/>
      <c r="D42" s="14" t="b">
        <v>0</v>
      </c>
      <c r="E42" s="14" t="b">
        <v>0</v>
      </c>
      <c r="F42" s="14" t="b">
        <v>0</v>
      </c>
      <c r="G42" s="13"/>
      <c r="H42" s="14" t="b">
        <v>0</v>
      </c>
    </row>
    <row r="43" spans="1:8" x14ac:dyDescent="0.35">
      <c r="A43" s="12"/>
      <c r="B43" s="13"/>
      <c r="C43" s="13"/>
      <c r="D43" s="14" t="b">
        <v>0</v>
      </c>
      <c r="E43" s="14" t="b">
        <v>0</v>
      </c>
      <c r="F43" s="14" t="b">
        <v>0</v>
      </c>
      <c r="G43" s="13"/>
      <c r="H43" s="14" t="b">
        <v>0</v>
      </c>
    </row>
    <row r="44" spans="1:8" x14ac:dyDescent="0.35">
      <c r="A44" s="12"/>
      <c r="B44" s="13"/>
      <c r="C44" s="13"/>
      <c r="D44" s="14" t="b">
        <v>0</v>
      </c>
      <c r="E44" s="14" t="b">
        <v>0</v>
      </c>
      <c r="F44" s="14" t="b">
        <v>0</v>
      </c>
      <c r="G44" s="13"/>
      <c r="H44" s="14" t="b">
        <v>0</v>
      </c>
    </row>
    <row r="45" spans="1:8" x14ac:dyDescent="0.35">
      <c r="A45" s="12"/>
      <c r="B45" s="13"/>
      <c r="C45" s="13"/>
      <c r="D45" s="14" t="b">
        <v>0</v>
      </c>
      <c r="E45" s="14" t="b">
        <v>0</v>
      </c>
      <c r="F45" s="14" t="b">
        <v>0</v>
      </c>
      <c r="G45" s="13"/>
      <c r="H45" s="14" t="b">
        <v>0</v>
      </c>
    </row>
    <row r="46" spans="1:8" x14ac:dyDescent="0.35">
      <c r="A46" s="12"/>
      <c r="B46" s="13"/>
      <c r="C46" s="13"/>
      <c r="D46" s="14" t="b">
        <v>0</v>
      </c>
      <c r="E46" s="14" t="b">
        <v>0</v>
      </c>
      <c r="F46" s="14" t="b">
        <v>0</v>
      </c>
      <c r="G46" s="13"/>
      <c r="H46" s="14" t="b">
        <v>0</v>
      </c>
    </row>
    <row r="47" spans="1:8" x14ac:dyDescent="0.35">
      <c r="A47" s="12"/>
      <c r="B47" s="13"/>
      <c r="C47" s="13"/>
      <c r="D47" s="14" t="b">
        <v>0</v>
      </c>
      <c r="E47" s="14" t="b">
        <v>0</v>
      </c>
      <c r="F47" s="14" t="b">
        <v>0</v>
      </c>
      <c r="G47" s="13"/>
      <c r="H47" s="14" t="b">
        <v>0</v>
      </c>
    </row>
    <row r="48" spans="1:8" x14ac:dyDescent="0.35">
      <c r="A48" s="12"/>
      <c r="B48" s="13"/>
      <c r="C48" s="13"/>
      <c r="D48" s="14" t="b">
        <v>0</v>
      </c>
      <c r="E48" s="14" t="b">
        <v>0</v>
      </c>
      <c r="F48" s="14" t="b">
        <v>0</v>
      </c>
      <c r="G48" s="13"/>
      <c r="H48" s="14" t="b">
        <v>0</v>
      </c>
    </row>
    <row r="49" spans="1:8" x14ac:dyDescent="0.35">
      <c r="A49" s="12"/>
      <c r="B49" s="13"/>
      <c r="C49" s="13"/>
      <c r="D49" s="14" t="b">
        <v>0</v>
      </c>
      <c r="E49" s="14" t="b">
        <v>0</v>
      </c>
      <c r="F49" s="14" t="b">
        <v>0</v>
      </c>
      <c r="G49" s="13"/>
      <c r="H49" s="14" t="b">
        <v>0</v>
      </c>
    </row>
    <row r="50" spans="1:8" x14ac:dyDescent="0.35">
      <c r="A50" s="12"/>
      <c r="B50" s="13"/>
      <c r="C50" s="13"/>
      <c r="D50" s="14" t="b">
        <v>0</v>
      </c>
      <c r="E50" s="14" t="b">
        <v>0</v>
      </c>
      <c r="F50" s="14" t="b">
        <v>0</v>
      </c>
      <c r="G50" s="13"/>
      <c r="H50" s="14" t="b">
        <v>0</v>
      </c>
    </row>
    <row r="51" spans="1:8" x14ac:dyDescent="0.35">
      <c r="A51" s="16"/>
      <c r="B51" s="16"/>
      <c r="C51" s="16"/>
      <c r="D51" s="16"/>
      <c r="E51" s="16"/>
      <c r="F51" s="16"/>
      <c r="G51" s="16"/>
      <c r="H51" s="16"/>
    </row>
    <row r="52" spans="1:8" x14ac:dyDescent="0.35">
      <c r="A52" s="12" t="s">
        <v>78</v>
      </c>
      <c r="B52" s="13" t="s">
        <v>79</v>
      </c>
      <c r="C52" s="13"/>
      <c r="D52" s="14" t="b">
        <v>1</v>
      </c>
      <c r="E52" s="14" t="b">
        <v>1</v>
      </c>
      <c r="F52" s="14" t="b">
        <v>1</v>
      </c>
      <c r="G52" s="13">
        <v>2</v>
      </c>
      <c r="H52" s="14" t="b">
        <v>1</v>
      </c>
    </row>
    <row r="53" spans="1:8" x14ac:dyDescent="0.35">
      <c r="A53" s="13"/>
      <c r="B53" s="13" t="s">
        <v>80</v>
      </c>
      <c r="C53" s="13"/>
      <c r="D53" s="14" t="b">
        <v>1</v>
      </c>
      <c r="E53" s="14" t="b">
        <v>1</v>
      </c>
      <c r="F53" s="14" t="b">
        <v>1</v>
      </c>
      <c r="G53" s="13">
        <v>3</v>
      </c>
      <c r="H53" s="14" t="b">
        <v>0</v>
      </c>
    </row>
    <row r="54" spans="1:8" x14ac:dyDescent="0.35">
      <c r="A54" s="13"/>
      <c r="B54" s="13" t="s">
        <v>81</v>
      </c>
      <c r="C54" s="13"/>
      <c r="D54" s="14" t="b">
        <v>1</v>
      </c>
      <c r="E54" s="14" t="b">
        <v>1</v>
      </c>
      <c r="F54" s="14" t="b">
        <v>1</v>
      </c>
      <c r="G54" s="13">
        <v>2</v>
      </c>
      <c r="H54" s="14" t="b">
        <v>1</v>
      </c>
    </row>
    <row r="55" spans="1:8" x14ac:dyDescent="0.35">
      <c r="A55" s="13"/>
      <c r="B55" s="13"/>
      <c r="C55" s="13" t="s">
        <v>82</v>
      </c>
      <c r="D55" s="14" t="b">
        <v>1</v>
      </c>
      <c r="E55" s="14" t="b">
        <v>0</v>
      </c>
      <c r="F55" s="14" t="b">
        <v>0</v>
      </c>
      <c r="G55" s="13"/>
      <c r="H55" s="14" t="b">
        <v>0</v>
      </c>
    </row>
    <row r="56" spans="1:8" x14ac:dyDescent="0.35">
      <c r="A56" s="13"/>
      <c r="B56" s="13"/>
      <c r="C56" s="13" t="s">
        <v>83</v>
      </c>
      <c r="D56" s="14" t="b">
        <v>1</v>
      </c>
      <c r="E56" s="14" t="b">
        <v>0</v>
      </c>
      <c r="F56" s="14" t="b">
        <v>0</v>
      </c>
      <c r="G56" s="13"/>
      <c r="H56" s="14" t="b">
        <v>0</v>
      </c>
    </row>
    <row r="57" spans="1:8" x14ac:dyDescent="0.35">
      <c r="A57" s="13"/>
      <c r="B57" s="13"/>
      <c r="C57" s="13" t="s">
        <v>84</v>
      </c>
      <c r="D57" s="14" t="b">
        <v>1</v>
      </c>
      <c r="E57" s="14" t="b">
        <v>0</v>
      </c>
      <c r="F57" s="14" t="b">
        <v>0</v>
      </c>
      <c r="G57" s="13"/>
      <c r="H57" s="14" t="b">
        <v>0</v>
      </c>
    </row>
    <row r="58" spans="1:8" x14ac:dyDescent="0.35">
      <c r="A58" s="13"/>
      <c r="B58" s="13"/>
      <c r="C58" s="13" t="s">
        <v>220</v>
      </c>
      <c r="D58" s="14" t="b">
        <v>1</v>
      </c>
      <c r="E58" s="14" t="b">
        <v>0</v>
      </c>
      <c r="F58" s="14" t="b">
        <v>0</v>
      </c>
      <c r="G58" s="13"/>
      <c r="H58" s="14" t="b">
        <v>0</v>
      </c>
    </row>
    <row r="59" spans="1:8" x14ac:dyDescent="0.35">
      <c r="A59" s="16"/>
      <c r="B59" s="16"/>
      <c r="C59" s="16"/>
      <c r="D59" s="16"/>
      <c r="E59" s="16"/>
      <c r="F59" s="16"/>
      <c r="G59" s="16"/>
      <c r="H59" s="16"/>
    </row>
    <row r="60" spans="1:8" x14ac:dyDescent="0.35">
      <c r="A60" s="12" t="s">
        <v>85</v>
      </c>
      <c r="B60" s="13" t="s">
        <v>86</v>
      </c>
      <c r="C60" s="13"/>
      <c r="D60" s="14" t="b">
        <v>1</v>
      </c>
      <c r="E60" s="14" t="b">
        <v>1</v>
      </c>
      <c r="F60" s="14" t="b">
        <v>1</v>
      </c>
      <c r="G60" s="13">
        <v>2</v>
      </c>
      <c r="H60" s="14" t="b">
        <v>1</v>
      </c>
    </row>
    <row r="61" spans="1:8" x14ac:dyDescent="0.35">
      <c r="A61" s="16"/>
      <c r="B61" s="16"/>
      <c r="C61" s="16"/>
      <c r="D61" s="16"/>
      <c r="E61" s="16"/>
      <c r="F61" s="16"/>
      <c r="G61" s="16"/>
      <c r="H61" s="16"/>
    </row>
    <row r="62" spans="1:8" x14ac:dyDescent="0.35">
      <c r="A62" s="12" t="s">
        <v>87</v>
      </c>
      <c r="B62" s="13" t="s">
        <v>87</v>
      </c>
      <c r="C62" s="13"/>
      <c r="D62" s="14" t="b">
        <v>1</v>
      </c>
      <c r="E62" s="14" t="b">
        <v>0</v>
      </c>
      <c r="F62" s="14" t="b">
        <v>1</v>
      </c>
      <c r="G62" s="13">
        <v>2</v>
      </c>
      <c r="H62" s="14" t="b">
        <v>0</v>
      </c>
    </row>
    <row r="63" spans="1:8" x14ac:dyDescent="0.35">
      <c r="A63" s="16"/>
      <c r="B63" s="16"/>
      <c r="C63" s="16"/>
      <c r="D63" s="16"/>
      <c r="E63" s="16"/>
      <c r="F63" s="16"/>
      <c r="G63" s="16"/>
      <c r="H63" s="16"/>
    </row>
    <row r="64" spans="1:8" x14ac:dyDescent="0.35">
      <c r="A64" s="12" t="s">
        <v>88</v>
      </c>
      <c r="B64" s="13" t="s">
        <v>89</v>
      </c>
      <c r="C64" s="13"/>
      <c r="D64" s="14" t="b">
        <v>1</v>
      </c>
      <c r="E64" s="14" t="b">
        <v>1</v>
      </c>
      <c r="F64" s="14" t="b">
        <v>1</v>
      </c>
      <c r="G64" s="13">
        <v>2</v>
      </c>
      <c r="H64" s="14" t="b">
        <v>1</v>
      </c>
    </row>
    <row r="65" spans="1:8" x14ac:dyDescent="0.35">
      <c r="A65" s="12"/>
      <c r="B65" s="13"/>
      <c r="C65" s="13" t="s">
        <v>90</v>
      </c>
      <c r="D65" s="14" t="b">
        <v>1</v>
      </c>
      <c r="E65" s="14" t="b">
        <v>0</v>
      </c>
      <c r="F65" s="14" t="b">
        <v>0</v>
      </c>
      <c r="G65" s="13"/>
      <c r="H65" s="14" t="b">
        <v>0</v>
      </c>
    </row>
    <row r="66" spans="1:8" x14ac:dyDescent="0.35">
      <c r="A66" s="12"/>
      <c r="B66" s="13"/>
      <c r="C66" s="13" t="s">
        <v>207</v>
      </c>
      <c r="D66" s="14"/>
      <c r="E66" s="14"/>
      <c r="F66" s="14" t="b">
        <v>1</v>
      </c>
      <c r="G66" s="13">
        <v>2</v>
      </c>
      <c r="H66" s="14" t="b">
        <v>1</v>
      </c>
    </row>
    <row r="67" spans="1:8" x14ac:dyDescent="0.35">
      <c r="A67" s="13"/>
      <c r="B67" s="13" t="s">
        <v>91</v>
      </c>
      <c r="C67" s="13"/>
      <c r="D67" s="14" t="b">
        <v>1</v>
      </c>
      <c r="E67" s="14" t="b">
        <v>1</v>
      </c>
      <c r="F67" s="14" t="b">
        <v>1</v>
      </c>
      <c r="G67" s="13">
        <v>3</v>
      </c>
      <c r="H67" s="14" t="b">
        <v>0</v>
      </c>
    </row>
    <row r="68" spans="1:8" x14ac:dyDescent="0.35">
      <c r="A68" s="13"/>
      <c r="B68" s="13" t="s">
        <v>92</v>
      </c>
      <c r="C68" s="13"/>
      <c r="D68" s="14" t="b">
        <v>1</v>
      </c>
      <c r="E68" s="14" t="b">
        <v>1</v>
      </c>
      <c r="F68" s="14" t="b">
        <v>1</v>
      </c>
      <c r="G68" s="13">
        <v>3</v>
      </c>
      <c r="H68" s="14" t="b">
        <v>0</v>
      </c>
    </row>
    <row r="69" spans="1:8" x14ac:dyDescent="0.35">
      <c r="A69" s="13"/>
      <c r="B69" s="13" t="s">
        <v>93</v>
      </c>
      <c r="C69" s="13"/>
      <c r="D69" s="14" t="b">
        <v>1</v>
      </c>
      <c r="E69" s="14" t="b">
        <v>1</v>
      </c>
      <c r="F69" s="14" t="b">
        <v>1</v>
      </c>
      <c r="G69" s="13">
        <v>3</v>
      </c>
      <c r="H69" s="14" t="b">
        <v>0</v>
      </c>
    </row>
    <row r="70" spans="1:8" x14ac:dyDescent="0.35">
      <c r="A70" s="13"/>
      <c r="B70" s="13" t="s">
        <v>94</v>
      </c>
      <c r="C70" s="13"/>
      <c r="D70" s="14" t="b">
        <v>1</v>
      </c>
      <c r="E70" s="14" t="b">
        <v>1</v>
      </c>
      <c r="F70" s="14" t="b">
        <v>0</v>
      </c>
      <c r="G70" s="13"/>
      <c r="H70" s="14" t="b">
        <v>0</v>
      </c>
    </row>
    <row r="71" spans="1:8" x14ac:dyDescent="0.35">
      <c r="A71" s="13"/>
      <c r="B71" s="13" t="s">
        <v>95</v>
      </c>
      <c r="C71" s="13"/>
      <c r="D71" s="14" t="b">
        <v>1</v>
      </c>
      <c r="E71" s="14" t="b">
        <v>1</v>
      </c>
      <c r="F71" s="14" t="b">
        <v>1</v>
      </c>
      <c r="G71" s="13">
        <v>3</v>
      </c>
      <c r="H71" s="14" t="b">
        <v>0</v>
      </c>
    </row>
    <row r="72" spans="1:8" x14ac:dyDescent="0.35">
      <c r="A72" s="13"/>
      <c r="B72" s="13" t="s">
        <v>96</v>
      </c>
      <c r="C72" s="13"/>
      <c r="D72" s="14" t="b">
        <v>1</v>
      </c>
      <c r="E72" s="14" t="b">
        <v>1</v>
      </c>
      <c r="F72" s="14" t="b">
        <v>1</v>
      </c>
      <c r="G72" s="13">
        <v>3</v>
      </c>
      <c r="H72" s="14" t="b">
        <v>0</v>
      </c>
    </row>
    <row r="73" spans="1:8" x14ac:dyDescent="0.35">
      <c r="A73" s="13"/>
      <c r="B73" s="13"/>
      <c r="C73" s="13" t="s">
        <v>221</v>
      </c>
      <c r="D73" s="14" t="b">
        <v>0</v>
      </c>
      <c r="E73" s="14" t="b">
        <v>0</v>
      </c>
      <c r="F73" s="14" t="b">
        <v>0</v>
      </c>
      <c r="G73" s="13"/>
      <c r="H73" s="14" t="b">
        <v>0</v>
      </c>
    </row>
    <row r="74" spans="1:8" x14ac:dyDescent="0.35">
      <c r="A74" s="13"/>
      <c r="B74" s="13"/>
      <c r="C74" s="13" t="s">
        <v>222</v>
      </c>
      <c r="D74" s="14" t="b">
        <v>0</v>
      </c>
      <c r="E74" s="14" t="b">
        <v>0</v>
      </c>
      <c r="F74" s="14" t="b">
        <v>0</v>
      </c>
      <c r="G74" s="13"/>
      <c r="H74" s="14" t="b">
        <v>0</v>
      </c>
    </row>
    <row r="75" spans="1:8" x14ac:dyDescent="0.35">
      <c r="A75" s="13"/>
      <c r="B75" s="13"/>
      <c r="C75" s="13" t="s">
        <v>223</v>
      </c>
      <c r="D75" s="14" t="b">
        <v>0</v>
      </c>
      <c r="E75" s="14" t="b">
        <v>0</v>
      </c>
      <c r="F75" s="14" t="b">
        <v>0</v>
      </c>
      <c r="G75" s="13"/>
      <c r="H75" s="14" t="b">
        <v>0</v>
      </c>
    </row>
    <row r="76" spans="1:8" x14ac:dyDescent="0.35">
      <c r="A76" s="16"/>
      <c r="B76" s="16"/>
      <c r="C76" s="16"/>
      <c r="D76" s="16"/>
      <c r="E76" s="16"/>
      <c r="F76" s="16"/>
      <c r="G76" s="16"/>
      <c r="H76" s="16"/>
    </row>
    <row r="77" spans="1:8" x14ac:dyDescent="0.35">
      <c r="A77" s="12" t="s">
        <v>97</v>
      </c>
      <c r="B77" s="13" t="s">
        <v>98</v>
      </c>
      <c r="C77" s="13"/>
      <c r="D77" s="14" t="b">
        <v>1</v>
      </c>
      <c r="E77" s="14" t="b">
        <v>1</v>
      </c>
      <c r="F77" s="14" t="b">
        <v>0</v>
      </c>
      <c r="G77" s="13"/>
      <c r="H77" s="14" t="b">
        <v>0</v>
      </c>
    </row>
    <row r="78" spans="1:8" x14ac:dyDescent="0.35">
      <c r="A78" s="13"/>
      <c r="B78" s="13" t="s">
        <v>99</v>
      </c>
      <c r="C78" s="13"/>
      <c r="D78" s="14" t="b">
        <v>1</v>
      </c>
      <c r="E78" s="14" t="b">
        <v>1</v>
      </c>
      <c r="F78" s="14" t="b">
        <v>0</v>
      </c>
      <c r="G78" s="13"/>
      <c r="H78" s="14" t="b">
        <v>0</v>
      </c>
    </row>
    <row r="79" spans="1:8" x14ac:dyDescent="0.35">
      <c r="A79" s="13"/>
      <c r="B79" s="13" t="s">
        <v>100</v>
      </c>
      <c r="C79" s="13"/>
      <c r="D79" s="14" t="b">
        <v>1</v>
      </c>
      <c r="E79" s="14" t="b">
        <v>1</v>
      </c>
      <c r="F79" s="14" t="b">
        <v>0</v>
      </c>
      <c r="G79" s="13"/>
      <c r="H79" s="14" t="b">
        <v>0</v>
      </c>
    </row>
    <row r="80" spans="1:8" x14ac:dyDescent="0.35">
      <c r="A80" s="13"/>
      <c r="B80" s="13" t="s">
        <v>101</v>
      </c>
      <c r="C80" s="13"/>
      <c r="D80" s="14" t="b">
        <v>1</v>
      </c>
      <c r="E80" s="14" t="b">
        <v>1</v>
      </c>
      <c r="F80" s="14" t="b">
        <v>0</v>
      </c>
      <c r="G80" s="13"/>
      <c r="H80" s="14" t="b">
        <v>0</v>
      </c>
    </row>
    <row r="81" spans="1:8" x14ac:dyDescent="0.35">
      <c r="A81" s="13"/>
      <c r="B81" s="13" t="s">
        <v>102</v>
      </c>
      <c r="C81" s="13"/>
      <c r="D81" s="14" t="b">
        <v>1</v>
      </c>
      <c r="E81" s="14" t="b">
        <v>1</v>
      </c>
      <c r="F81" s="14" t="b">
        <v>0</v>
      </c>
      <c r="G81" s="13"/>
      <c r="H81" s="14" t="b">
        <v>0</v>
      </c>
    </row>
    <row r="82" spans="1:8" x14ac:dyDescent="0.35">
      <c r="A82" s="13"/>
      <c r="B82" s="13" t="s">
        <v>103</v>
      </c>
      <c r="C82" s="13"/>
      <c r="D82" s="14" t="b">
        <v>1</v>
      </c>
      <c r="E82" s="14" t="b">
        <v>1</v>
      </c>
      <c r="F82" s="14" t="b">
        <v>0</v>
      </c>
      <c r="G82" s="13"/>
      <c r="H82" s="14" t="b">
        <v>0</v>
      </c>
    </row>
    <row r="83" spans="1:8" x14ac:dyDescent="0.35">
      <c r="A83" s="13"/>
      <c r="B83" s="13"/>
      <c r="C83" s="13" t="s">
        <v>104</v>
      </c>
      <c r="D83" s="14" t="b">
        <v>1</v>
      </c>
      <c r="E83" s="14" t="b">
        <v>1</v>
      </c>
      <c r="F83" s="14" t="b">
        <v>0</v>
      </c>
      <c r="G83" s="13"/>
      <c r="H83" s="14" t="b">
        <v>0</v>
      </c>
    </row>
    <row r="84" spans="1:8" x14ac:dyDescent="0.35">
      <c r="A84" s="13"/>
      <c r="B84" s="13"/>
      <c r="C84" s="13" t="s">
        <v>105</v>
      </c>
      <c r="D84" s="14" t="b">
        <v>1</v>
      </c>
      <c r="E84" s="14" t="b">
        <v>1</v>
      </c>
      <c r="F84" s="14" t="b">
        <v>0</v>
      </c>
      <c r="G84" s="13"/>
      <c r="H84" s="14" t="b">
        <v>0</v>
      </c>
    </row>
    <row r="85" spans="1:8" x14ac:dyDescent="0.35">
      <c r="A85" s="16"/>
      <c r="B85" s="16"/>
      <c r="C85" s="16"/>
      <c r="D85" s="16"/>
      <c r="E85" s="16"/>
      <c r="F85" s="16"/>
      <c r="G85" s="16"/>
      <c r="H85" s="16"/>
    </row>
    <row r="86" spans="1:8" x14ac:dyDescent="0.35">
      <c r="A86" s="12" t="s">
        <v>106</v>
      </c>
      <c r="B86" s="13"/>
      <c r="C86" s="13"/>
      <c r="D86" s="14" t="b">
        <v>1</v>
      </c>
      <c r="E86" s="14" t="b">
        <v>0</v>
      </c>
      <c r="F86" s="14" t="b">
        <v>0</v>
      </c>
      <c r="G86" s="13"/>
      <c r="H86" s="14" t="b">
        <v>0</v>
      </c>
    </row>
    <row r="87" spans="1:8" x14ac:dyDescent="0.35">
      <c r="A87" s="13"/>
      <c r="B87" s="13"/>
      <c r="C87" s="13" t="s">
        <v>107</v>
      </c>
      <c r="D87" s="14" t="b">
        <v>1</v>
      </c>
      <c r="E87" s="14" t="b">
        <v>0</v>
      </c>
      <c r="F87" s="14" t="b">
        <v>0</v>
      </c>
      <c r="G87" s="13"/>
      <c r="H87" s="14" t="b">
        <v>0</v>
      </c>
    </row>
    <row r="88" spans="1:8" x14ac:dyDescent="0.35">
      <c r="A88" s="13"/>
      <c r="B88" s="13"/>
      <c r="C88" s="13" t="s">
        <v>108</v>
      </c>
      <c r="D88" s="14" t="b">
        <v>1</v>
      </c>
      <c r="E88" s="14" t="b">
        <v>0</v>
      </c>
      <c r="F88" s="14" t="b">
        <v>0</v>
      </c>
      <c r="G88" s="13"/>
      <c r="H88" s="14" t="b">
        <v>0</v>
      </c>
    </row>
    <row r="89" spans="1:8" x14ac:dyDescent="0.35">
      <c r="A89" s="13"/>
      <c r="B89" s="13"/>
      <c r="C89" s="13" t="s">
        <v>109</v>
      </c>
      <c r="D89" s="14" t="b">
        <v>1</v>
      </c>
      <c r="E89" s="14" t="b">
        <v>0</v>
      </c>
      <c r="F89" s="14" t="b">
        <v>0</v>
      </c>
      <c r="G89" s="13"/>
      <c r="H89" s="14" t="b">
        <v>0</v>
      </c>
    </row>
    <row r="90" spans="1:8" x14ac:dyDescent="0.35">
      <c r="A90" s="13"/>
      <c r="B90" s="13"/>
      <c r="C90" s="13" t="s">
        <v>110</v>
      </c>
      <c r="D90" s="14" t="b">
        <v>1</v>
      </c>
      <c r="E90" s="14" t="b">
        <v>0</v>
      </c>
      <c r="F90" s="14" t="b">
        <v>0</v>
      </c>
      <c r="G90" s="13"/>
      <c r="H90" s="14" t="b">
        <v>0</v>
      </c>
    </row>
    <row r="91" spans="1:8" x14ac:dyDescent="0.35">
      <c r="A91" s="13"/>
      <c r="B91" s="13"/>
      <c r="C91" s="13" t="s">
        <v>111</v>
      </c>
      <c r="D91" s="14" t="b">
        <v>1</v>
      </c>
      <c r="E91" s="14" t="b">
        <v>0</v>
      </c>
      <c r="F91" s="14" t="b">
        <v>0</v>
      </c>
      <c r="G91" s="13"/>
      <c r="H91" s="14" t="b">
        <v>0</v>
      </c>
    </row>
    <row r="92" spans="1:8" x14ac:dyDescent="0.35">
      <c r="A92" s="13"/>
      <c r="B92" s="13"/>
      <c r="C92" s="13" t="s">
        <v>112</v>
      </c>
      <c r="D92" s="14" t="b">
        <v>1</v>
      </c>
      <c r="E92" s="14" t="b">
        <v>0</v>
      </c>
      <c r="F92" s="14" t="b">
        <v>0</v>
      </c>
      <c r="G92" s="13"/>
      <c r="H92" s="14" t="b">
        <v>0</v>
      </c>
    </row>
    <row r="93" spans="1:8" x14ac:dyDescent="0.35">
      <c r="A93" s="13"/>
      <c r="B93" s="13"/>
      <c r="C93" s="13" t="s">
        <v>113</v>
      </c>
      <c r="D93" s="14" t="b">
        <v>1</v>
      </c>
      <c r="E93" s="14" t="b">
        <v>0</v>
      </c>
      <c r="F93" s="14" t="b">
        <v>0</v>
      </c>
      <c r="G93" s="13"/>
      <c r="H93" s="14" t="b">
        <v>0</v>
      </c>
    </row>
    <row r="94" spans="1:8" x14ac:dyDescent="0.35">
      <c r="A94" s="13"/>
      <c r="B94" s="13"/>
      <c r="C94" s="13" t="s">
        <v>114</v>
      </c>
      <c r="D94" s="14" t="b">
        <v>1</v>
      </c>
      <c r="E94" s="14" t="b">
        <v>0</v>
      </c>
      <c r="F94" s="14" t="b">
        <v>0</v>
      </c>
      <c r="G94" s="13"/>
      <c r="H94" s="14" t="b">
        <v>0</v>
      </c>
    </row>
    <row r="95" spans="1:8" x14ac:dyDescent="0.35">
      <c r="A95" s="13"/>
      <c r="B95" s="13"/>
      <c r="C95" s="13" t="s">
        <v>115</v>
      </c>
      <c r="D95" s="14" t="b">
        <v>1</v>
      </c>
      <c r="E95" s="14" t="b">
        <v>0</v>
      </c>
      <c r="F95" s="14" t="b">
        <v>0</v>
      </c>
      <c r="G95" s="13"/>
      <c r="H95" s="14" t="b">
        <v>0</v>
      </c>
    </row>
    <row r="96" spans="1:8" x14ac:dyDescent="0.35">
      <c r="A96" s="16"/>
      <c r="B96" s="16"/>
      <c r="C96" s="16"/>
      <c r="D96" s="16"/>
      <c r="E96" s="16"/>
      <c r="F96" s="16"/>
      <c r="G96" s="16"/>
      <c r="H96" s="16"/>
    </row>
    <row r="97" spans="1:8" x14ac:dyDescent="0.35">
      <c r="A97" s="12" t="s">
        <v>116</v>
      </c>
      <c r="B97" s="13"/>
      <c r="C97" s="13"/>
      <c r="D97" s="14" t="b">
        <v>1</v>
      </c>
      <c r="E97" s="14" t="b">
        <v>1</v>
      </c>
      <c r="F97" s="14" t="b">
        <v>1</v>
      </c>
      <c r="G97" s="13">
        <v>4</v>
      </c>
      <c r="H97" s="14" t="b">
        <v>0</v>
      </c>
    </row>
    <row r="98" spans="1:8" x14ac:dyDescent="0.35">
      <c r="A98" s="16"/>
      <c r="B98" s="16"/>
      <c r="C98" s="16"/>
      <c r="D98" s="16"/>
      <c r="E98" s="16"/>
      <c r="F98" s="16"/>
      <c r="G98" s="16"/>
      <c r="H98" s="16"/>
    </row>
    <row r="99" spans="1:8" x14ac:dyDescent="0.35">
      <c r="A99" s="12" t="s">
        <v>117</v>
      </c>
      <c r="B99" s="13" t="s">
        <v>118</v>
      </c>
      <c r="C99" s="13"/>
      <c r="D99" s="14" t="b">
        <v>1</v>
      </c>
      <c r="E99" s="14" t="b">
        <v>1</v>
      </c>
      <c r="F99" s="14" t="b">
        <v>0</v>
      </c>
      <c r="G99" s="13"/>
      <c r="H99" s="14" t="b">
        <v>0</v>
      </c>
    </row>
    <row r="100" spans="1:8" x14ac:dyDescent="0.35">
      <c r="A100" s="13"/>
      <c r="B100" s="13" t="s">
        <v>119</v>
      </c>
      <c r="C100" s="13"/>
      <c r="D100" s="14" t="b">
        <v>1</v>
      </c>
      <c r="E100" s="14" t="b">
        <v>1</v>
      </c>
      <c r="F100" s="14" t="b">
        <v>0</v>
      </c>
      <c r="G100" s="13"/>
      <c r="H100" s="14" t="b">
        <v>0</v>
      </c>
    </row>
    <row r="101" spans="1:8" x14ac:dyDescent="0.35">
      <c r="A101" s="13"/>
      <c r="B101" s="13" t="s">
        <v>120</v>
      </c>
      <c r="C101" s="13"/>
      <c r="D101" s="14" t="b">
        <v>1</v>
      </c>
      <c r="E101" s="14" t="b">
        <v>0</v>
      </c>
      <c r="F101" s="14" t="b">
        <v>0</v>
      </c>
      <c r="G101" s="13"/>
      <c r="H101" s="14" t="b">
        <v>0</v>
      </c>
    </row>
    <row r="102" spans="1:8" x14ac:dyDescent="0.35">
      <c r="A102" s="13"/>
      <c r="B102" s="13" t="s">
        <v>121</v>
      </c>
      <c r="C102" s="13"/>
      <c r="D102" s="14" t="b">
        <v>1</v>
      </c>
      <c r="E102" s="14" t="b">
        <v>0</v>
      </c>
      <c r="F102" s="14" t="b">
        <v>0</v>
      </c>
      <c r="G102" s="13"/>
      <c r="H102" s="14" t="b">
        <v>0</v>
      </c>
    </row>
    <row r="103" spans="1:8" x14ac:dyDescent="0.35">
      <c r="A103" s="13"/>
      <c r="B103" s="13" t="s">
        <v>122</v>
      </c>
      <c r="C103" s="13"/>
      <c r="D103" s="14" t="b">
        <v>1</v>
      </c>
      <c r="E103" s="14" t="b">
        <v>0</v>
      </c>
      <c r="F103" s="14" t="b">
        <v>0</v>
      </c>
      <c r="G103" s="13"/>
      <c r="H103" s="14" t="b">
        <v>0</v>
      </c>
    </row>
    <row r="104" spans="1:8" x14ac:dyDescent="0.35">
      <c r="A104" s="13"/>
      <c r="B104" s="13" t="s">
        <v>123</v>
      </c>
      <c r="C104" s="13"/>
      <c r="D104" s="14" t="b">
        <v>1</v>
      </c>
      <c r="E104" s="14" t="b">
        <v>1</v>
      </c>
      <c r="F104" s="14" t="b">
        <v>0</v>
      </c>
      <c r="G104" s="13"/>
      <c r="H104" s="14" t="b">
        <v>0</v>
      </c>
    </row>
    <row r="105" spans="1:8" x14ac:dyDescent="0.35">
      <c r="A105" s="13"/>
      <c r="B105" s="13" t="s">
        <v>124</v>
      </c>
      <c r="C105" s="13"/>
      <c r="D105" s="14" t="b">
        <v>1</v>
      </c>
      <c r="E105" s="14" t="b">
        <v>1</v>
      </c>
      <c r="F105" s="14" t="b">
        <v>0</v>
      </c>
      <c r="G105" s="13"/>
      <c r="H105" s="14" t="b">
        <v>0</v>
      </c>
    </row>
    <row r="106" spans="1:8" x14ac:dyDescent="0.35">
      <c r="A106" s="13"/>
      <c r="B106" s="13"/>
      <c r="C106" s="13" t="s">
        <v>125</v>
      </c>
      <c r="D106" s="14" t="b">
        <v>1</v>
      </c>
      <c r="E106" s="14" t="b">
        <v>1</v>
      </c>
      <c r="F106" s="14" t="b">
        <v>0</v>
      </c>
      <c r="G106" s="13"/>
      <c r="H106" s="14" t="b">
        <v>0</v>
      </c>
    </row>
    <row r="107" spans="1:8" x14ac:dyDescent="0.35">
      <c r="A107" s="13"/>
      <c r="B107" s="13"/>
      <c r="C107" s="13" t="s">
        <v>126</v>
      </c>
      <c r="D107" s="14" t="b">
        <v>1</v>
      </c>
      <c r="E107" s="14" t="b">
        <v>1</v>
      </c>
      <c r="F107" s="14" t="b">
        <v>0</v>
      </c>
      <c r="G107" s="13"/>
      <c r="H107" s="14" t="b">
        <v>0</v>
      </c>
    </row>
    <row r="108" spans="1:8" x14ac:dyDescent="0.35">
      <c r="A108" s="13"/>
      <c r="B108" s="13"/>
      <c r="C108" s="13" t="s">
        <v>127</v>
      </c>
      <c r="D108" s="14" t="b">
        <v>1</v>
      </c>
      <c r="E108" s="14" t="b">
        <v>1</v>
      </c>
      <c r="F108" s="14" t="b">
        <v>0</v>
      </c>
      <c r="G108" s="13"/>
      <c r="H108" s="14" t="b">
        <v>0</v>
      </c>
    </row>
    <row r="109" spans="1:8" x14ac:dyDescent="0.35">
      <c r="A109" s="13"/>
      <c r="B109" s="13"/>
      <c r="C109" s="13" t="s">
        <v>128</v>
      </c>
      <c r="D109" s="14" t="b">
        <v>1</v>
      </c>
      <c r="E109" s="14" t="b">
        <v>1</v>
      </c>
      <c r="F109" s="14" t="b">
        <v>0</v>
      </c>
      <c r="G109" s="13"/>
      <c r="H109" s="14" t="b">
        <v>0</v>
      </c>
    </row>
    <row r="110" spans="1:8" x14ac:dyDescent="0.35">
      <c r="A110" s="16"/>
      <c r="B110" s="16"/>
      <c r="C110" s="16"/>
      <c r="D110" s="16"/>
      <c r="E110" s="16"/>
      <c r="F110" s="16"/>
      <c r="G110" s="16"/>
      <c r="H110" s="16"/>
    </row>
    <row r="111" spans="1:8" x14ac:dyDescent="0.35">
      <c r="A111" s="12" t="s">
        <v>129</v>
      </c>
      <c r="B111" s="13" t="s">
        <v>130</v>
      </c>
      <c r="C111" s="13"/>
      <c r="D111" s="14" t="b">
        <v>1</v>
      </c>
      <c r="E111" s="14" t="b">
        <v>1</v>
      </c>
      <c r="F111" s="14" t="b">
        <v>1</v>
      </c>
      <c r="G111" s="13">
        <v>4</v>
      </c>
      <c r="H111" s="14" t="b">
        <v>0</v>
      </c>
    </row>
    <row r="112" spans="1:8" x14ac:dyDescent="0.35">
      <c r="A112" s="13"/>
      <c r="B112" s="13"/>
      <c r="C112" s="13" t="s">
        <v>131</v>
      </c>
      <c r="D112" s="14" t="b">
        <v>1</v>
      </c>
      <c r="E112" s="14" t="b">
        <v>0</v>
      </c>
      <c r="F112" s="14" t="b">
        <v>1</v>
      </c>
      <c r="G112" s="13">
        <v>4</v>
      </c>
      <c r="H112" s="14" t="b">
        <v>0</v>
      </c>
    </row>
    <row r="113" spans="1:8" x14ac:dyDescent="0.35">
      <c r="A113" s="13"/>
      <c r="B113" s="13"/>
      <c r="C113" s="13" t="s">
        <v>132</v>
      </c>
      <c r="D113" s="14" t="b">
        <v>1</v>
      </c>
      <c r="E113" s="14" t="b">
        <v>0</v>
      </c>
      <c r="F113" s="14" t="b">
        <v>1</v>
      </c>
      <c r="G113" s="13">
        <v>4</v>
      </c>
      <c r="H113" s="14" t="b">
        <v>0</v>
      </c>
    </row>
    <row r="114" spans="1:8" x14ac:dyDescent="0.35">
      <c r="A114" s="13"/>
      <c r="B114" s="13"/>
      <c r="C114" s="13" t="s">
        <v>133</v>
      </c>
      <c r="D114" s="14" t="b">
        <v>1</v>
      </c>
      <c r="E114" s="14" t="b">
        <v>0</v>
      </c>
      <c r="F114" s="14" t="b">
        <v>1</v>
      </c>
      <c r="G114" s="13">
        <v>4</v>
      </c>
      <c r="H114" s="14" t="b">
        <v>0</v>
      </c>
    </row>
    <row r="115" spans="1:8" x14ac:dyDescent="0.35">
      <c r="A115" s="13"/>
      <c r="B115" s="13"/>
      <c r="C115" s="13" t="s">
        <v>134</v>
      </c>
      <c r="D115" s="14" t="b">
        <v>1</v>
      </c>
      <c r="E115" s="14" t="b">
        <v>0</v>
      </c>
      <c r="F115" s="14" t="b">
        <v>1</v>
      </c>
      <c r="G115" s="13">
        <v>4</v>
      </c>
      <c r="H115" s="14" t="b">
        <v>0</v>
      </c>
    </row>
    <row r="116" spans="1:8" x14ac:dyDescent="0.35">
      <c r="A116" s="13"/>
      <c r="B116" s="13"/>
      <c r="C116" s="13" t="s">
        <v>135</v>
      </c>
      <c r="D116" s="14" t="b">
        <v>1</v>
      </c>
      <c r="E116" s="14" t="b">
        <v>0</v>
      </c>
      <c r="F116" s="14" t="b">
        <v>1</v>
      </c>
      <c r="G116" s="13">
        <v>4</v>
      </c>
      <c r="H116" s="14" t="b">
        <v>0</v>
      </c>
    </row>
    <row r="117" spans="1:8" x14ac:dyDescent="0.35">
      <c r="A117" s="13"/>
      <c r="B117" s="13"/>
      <c r="C117" s="13" t="s">
        <v>136</v>
      </c>
      <c r="D117" s="14" t="b">
        <v>1</v>
      </c>
      <c r="E117" s="14" t="b">
        <v>0</v>
      </c>
      <c r="F117" s="14" t="b">
        <v>1</v>
      </c>
      <c r="G117" s="13">
        <v>4</v>
      </c>
      <c r="H117" s="14" t="b">
        <v>0</v>
      </c>
    </row>
    <row r="118" spans="1:8" x14ac:dyDescent="0.35">
      <c r="A118" s="13"/>
      <c r="B118" s="13"/>
      <c r="C118" s="13" t="s">
        <v>137</v>
      </c>
      <c r="D118" s="14" t="b">
        <v>1</v>
      </c>
      <c r="E118" s="14" t="b">
        <v>0</v>
      </c>
      <c r="F118" s="14" t="b">
        <v>1</v>
      </c>
      <c r="G118" s="13">
        <v>4</v>
      </c>
      <c r="H118" s="14" t="b">
        <v>0</v>
      </c>
    </row>
    <row r="119" spans="1:8" x14ac:dyDescent="0.35">
      <c r="A119" s="13"/>
      <c r="B119" s="13"/>
      <c r="C119" s="13" t="s">
        <v>138</v>
      </c>
      <c r="D119" s="14" t="b">
        <v>1</v>
      </c>
      <c r="E119" s="14" t="b">
        <v>0</v>
      </c>
      <c r="F119" s="14" t="b">
        <v>1</v>
      </c>
      <c r="G119" s="13">
        <v>4</v>
      </c>
      <c r="H119" s="14" t="b">
        <v>0</v>
      </c>
    </row>
    <row r="120" spans="1:8" x14ac:dyDescent="0.35">
      <c r="A120" s="13"/>
      <c r="B120" s="13"/>
      <c r="C120" s="13" t="s">
        <v>139</v>
      </c>
      <c r="D120" s="14" t="b">
        <v>1</v>
      </c>
      <c r="E120" s="14" t="b">
        <v>0</v>
      </c>
      <c r="F120" s="14" t="b">
        <v>1</v>
      </c>
      <c r="G120" s="13">
        <v>4</v>
      </c>
      <c r="H120" s="14" t="b">
        <v>0</v>
      </c>
    </row>
    <row r="121" spans="1:8" x14ac:dyDescent="0.35">
      <c r="A121" s="13"/>
      <c r="B121" s="13"/>
      <c r="C121" s="13" t="s">
        <v>140</v>
      </c>
      <c r="D121" s="14" t="b">
        <v>1</v>
      </c>
      <c r="E121" s="14" t="b">
        <v>0</v>
      </c>
      <c r="F121" s="14" t="b">
        <v>1</v>
      </c>
      <c r="G121" s="13">
        <v>5</v>
      </c>
      <c r="H121" s="14" t="b">
        <v>0</v>
      </c>
    </row>
    <row r="122" spans="1:8" x14ac:dyDescent="0.35">
      <c r="A122" s="13"/>
      <c r="B122" s="13"/>
      <c r="C122" s="13" t="s">
        <v>141</v>
      </c>
      <c r="D122" s="14" t="b">
        <v>1</v>
      </c>
      <c r="E122" s="14" t="b">
        <v>0</v>
      </c>
      <c r="F122" s="14" t="b">
        <v>1</v>
      </c>
      <c r="G122" s="13">
        <v>5</v>
      </c>
      <c r="H122" s="14" t="b">
        <v>0</v>
      </c>
    </row>
    <row r="123" spans="1:8" x14ac:dyDescent="0.35">
      <c r="A123" s="13"/>
      <c r="B123" s="13"/>
      <c r="C123" s="13" t="s">
        <v>142</v>
      </c>
      <c r="D123" s="14" t="b">
        <v>1</v>
      </c>
      <c r="E123" s="14" t="b">
        <v>0</v>
      </c>
      <c r="F123" s="14" t="b">
        <v>1</v>
      </c>
      <c r="G123" s="13">
        <v>5</v>
      </c>
      <c r="H123" s="14" t="b">
        <v>0</v>
      </c>
    </row>
    <row r="124" spans="1:8" x14ac:dyDescent="0.35">
      <c r="A124" s="13"/>
      <c r="B124" s="13"/>
      <c r="C124" s="13" t="s">
        <v>143</v>
      </c>
      <c r="D124" s="14" t="b">
        <v>1</v>
      </c>
      <c r="E124" s="14" t="b">
        <v>0</v>
      </c>
      <c r="F124" s="14" t="b">
        <v>1</v>
      </c>
      <c r="G124" s="13">
        <v>5</v>
      </c>
      <c r="H124" s="14" t="b">
        <v>0</v>
      </c>
    </row>
    <row r="125" spans="1:8" x14ac:dyDescent="0.35">
      <c r="A125" s="13"/>
      <c r="B125" s="13"/>
      <c r="C125" s="13" t="s">
        <v>144</v>
      </c>
      <c r="D125" s="14" t="b">
        <v>1</v>
      </c>
      <c r="E125" s="14" t="b">
        <v>0</v>
      </c>
      <c r="F125" s="14" t="b">
        <v>1</v>
      </c>
      <c r="G125" s="13">
        <v>5</v>
      </c>
      <c r="H125" s="14" t="b">
        <v>0</v>
      </c>
    </row>
    <row r="126" spans="1:8" x14ac:dyDescent="0.35">
      <c r="A126" s="13"/>
      <c r="B126" s="13"/>
      <c r="C126" s="13" t="s">
        <v>145</v>
      </c>
      <c r="D126" s="14" t="b">
        <v>1</v>
      </c>
      <c r="E126" s="14" t="b">
        <v>0</v>
      </c>
      <c r="F126" s="14" t="b">
        <v>1</v>
      </c>
      <c r="G126" s="13">
        <v>5</v>
      </c>
      <c r="H126" s="14" t="b">
        <v>0</v>
      </c>
    </row>
    <row r="127" spans="1:8" x14ac:dyDescent="0.35">
      <c r="A127" s="13"/>
      <c r="B127" s="13"/>
      <c r="C127" s="13" t="s">
        <v>146</v>
      </c>
      <c r="D127" s="14" t="b">
        <v>1</v>
      </c>
      <c r="E127" s="14" t="b">
        <v>0</v>
      </c>
      <c r="F127" s="14" t="b">
        <v>1</v>
      </c>
      <c r="G127" s="13">
        <v>5</v>
      </c>
      <c r="H127" s="14" t="b">
        <v>0</v>
      </c>
    </row>
    <row r="128" spans="1:8" x14ac:dyDescent="0.35">
      <c r="A128" s="13"/>
      <c r="B128" s="13"/>
      <c r="C128" s="13" t="s">
        <v>147</v>
      </c>
      <c r="D128" s="14" t="b">
        <v>1</v>
      </c>
      <c r="E128" s="14" t="b">
        <v>0</v>
      </c>
      <c r="F128" s="14" t="b">
        <v>1</v>
      </c>
      <c r="G128" s="13">
        <v>5</v>
      </c>
      <c r="H128" s="14" t="b">
        <v>0</v>
      </c>
    </row>
    <row r="129" spans="1:8" x14ac:dyDescent="0.35">
      <c r="A129" s="13"/>
      <c r="B129" s="13"/>
      <c r="C129" s="13" t="s">
        <v>148</v>
      </c>
      <c r="D129" s="14" t="b">
        <v>1</v>
      </c>
      <c r="E129" s="14" t="b">
        <v>0</v>
      </c>
      <c r="F129" s="14" t="b">
        <v>1</v>
      </c>
      <c r="G129" s="13">
        <v>5</v>
      </c>
      <c r="H129" s="14" t="b">
        <v>0</v>
      </c>
    </row>
    <row r="130" spans="1:8" x14ac:dyDescent="0.35">
      <c r="A130" s="13"/>
      <c r="B130" s="13"/>
      <c r="C130" s="13" t="s">
        <v>149</v>
      </c>
      <c r="D130" s="14" t="b">
        <v>1</v>
      </c>
      <c r="E130" s="14" t="b">
        <v>0</v>
      </c>
      <c r="F130" s="14" t="b">
        <v>1</v>
      </c>
      <c r="G130" s="13">
        <v>5</v>
      </c>
      <c r="H130" s="14" t="b">
        <v>0</v>
      </c>
    </row>
    <row r="131" spans="1:8" x14ac:dyDescent="0.35">
      <c r="A131" s="13"/>
      <c r="B131" s="13"/>
      <c r="C131" s="13" t="s">
        <v>150</v>
      </c>
      <c r="D131" s="14" t="b">
        <v>1</v>
      </c>
      <c r="E131" s="14" t="b">
        <v>0</v>
      </c>
      <c r="F131" s="14" t="b">
        <v>1</v>
      </c>
      <c r="G131" s="13">
        <v>6</v>
      </c>
      <c r="H131" s="14" t="b">
        <v>0</v>
      </c>
    </row>
    <row r="132" spans="1:8" x14ac:dyDescent="0.35">
      <c r="A132" s="13"/>
      <c r="B132" s="13"/>
      <c r="C132" s="13" t="s">
        <v>151</v>
      </c>
      <c r="D132" s="14" t="b">
        <v>1</v>
      </c>
      <c r="E132" s="14" t="b">
        <v>0</v>
      </c>
      <c r="F132" s="14" t="b">
        <v>1</v>
      </c>
      <c r="G132" s="13">
        <v>6</v>
      </c>
      <c r="H132" s="14" t="b">
        <v>0</v>
      </c>
    </row>
    <row r="133" spans="1:8" x14ac:dyDescent="0.35">
      <c r="A133" s="16"/>
      <c r="B133" s="16"/>
      <c r="C133" s="16"/>
      <c r="D133" s="16"/>
      <c r="E133" s="16"/>
      <c r="F133" s="16"/>
      <c r="G133" s="16"/>
      <c r="H133" s="16"/>
    </row>
    <row r="134" spans="1:8" x14ac:dyDescent="0.35">
      <c r="A134" s="12" t="s">
        <v>152</v>
      </c>
      <c r="B134" s="13" t="s">
        <v>153</v>
      </c>
      <c r="C134" s="13"/>
      <c r="D134" s="14" t="b">
        <v>1</v>
      </c>
      <c r="E134" s="14" t="b">
        <v>0</v>
      </c>
      <c r="F134" s="14" t="b">
        <v>0</v>
      </c>
      <c r="G134" s="13"/>
      <c r="H134" s="14" t="b">
        <v>0</v>
      </c>
    </row>
    <row r="135" spans="1:8" x14ac:dyDescent="0.35">
      <c r="A135" s="13"/>
      <c r="B135" s="13"/>
      <c r="C135" s="13" t="s">
        <v>154</v>
      </c>
      <c r="D135" s="14" t="b">
        <v>1</v>
      </c>
      <c r="E135" s="14" t="b">
        <v>0</v>
      </c>
      <c r="F135" s="14" t="b">
        <v>0</v>
      </c>
      <c r="G135" s="13"/>
      <c r="H135" s="14" t="b">
        <v>0</v>
      </c>
    </row>
    <row r="136" spans="1:8" x14ac:dyDescent="0.35">
      <c r="A136" s="16"/>
      <c r="B136" s="16"/>
      <c r="C136" s="16"/>
      <c r="D136" s="16"/>
      <c r="E136" s="16"/>
      <c r="F136" s="16"/>
      <c r="G136" s="16"/>
      <c r="H136" s="16"/>
    </row>
    <row r="137" spans="1:8" x14ac:dyDescent="0.35">
      <c r="A137" s="12" t="s">
        <v>155</v>
      </c>
      <c r="B137" s="13"/>
      <c r="C137" s="13"/>
      <c r="D137" s="13"/>
      <c r="E137" s="13"/>
      <c r="F137" s="13"/>
      <c r="G137" s="13"/>
      <c r="H137" s="14" t="b">
        <v>0</v>
      </c>
    </row>
    <row r="138" spans="1:8" x14ac:dyDescent="0.35">
      <c r="A138" s="13"/>
      <c r="B138" s="13"/>
      <c r="C138" s="13" t="s">
        <v>156</v>
      </c>
      <c r="D138" s="14" t="b">
        <v>1</v>
      </c>
      <c r="E138" s="14" t="b">
        <v>1</v>
      </c>
      <c r="F138" s="14" t="b">
        <v>1</v>
      </c>
      <c r="G138" s="13">
        <v>6</v>
      </c>
      <c r="H138" s="14" t="b">
        <v>0</v>
      </c>
    </row>
    <row r="139" spans="1:8" x14ac:dyDescent="0.35">
      <c r="A139" s="13"/>
      <c r="B139" s="13"/>
      <c r="C139" s="13" t="s">
        <v>157</v>
      </c>
      <c r="D139" s="14" t="b">
        <v>1</v>
      </c>
      <c r="E139" s="14" t="b">
        <v>1</v>
      </c>
      <c r="F139" s="14" t="b">
        <v>1</v>
      </c>
      <c r="G139" s="13">
        <v>6</v>
      </c>
      <c r="H139" s="14" t="b">
        <v>0</v>
      </c>
    </row>
    <row r="140" spans="1:8" x14ac:dyDescent="0.35">
      <c r="A140" s="13"/>
      <c r="B140" s="13"/>
      <c r="C140" s="13" t="s">
        <v>158</v>
      </c>
      <c r="D140" s="14" t="b">
        <v>1</v>
      </c>
      <c r="E140" s="14" t="b">
        <v>1</v>
      </c>
      <c r="F140" s="14" t="b">
        <v>1</v>
      </c>
      <c r="G140" s="13">
        <v>6</v>
      </c>
      <c r="H140" s="14" t="b">
        <v>0</v>
      </c>
    </row>
    <row r="141" spans="1:8" x14ac:dyDescent="0.35">
      <c r="A141" s="13"/>
      <c r="B141" s="13"/>
      <c r="C141" s="13" t="s">
        <v>230</v>
      </c>
      <c r="D141" s="14" t="b">
        <v>0</v>
      </c>
      <c r="E141" s="14" t="b">
        <v>0</v>
      </c>
      <c r="F141" s="14" t="b">
        <v>1</v>
      </c>
      <c r="G141" s="13">
        <v>6</v>
      </c>
      <c r="H141" s="14" t="b">
        <v>0</v>
      </c>
    </row>
    <row r="142" spans="1:8" x14ac:dyDescent="0.35">
      <c r="A142" s="13"/>
      <c r="B142" s="13"/>
      <c r="C142" s="13" t="s">
        <v>231</v>
      </c>
      <c r="D142" s="14" t="b">
        <v>0</v>
      </c>
      <c r="E142" s="14" t="b">
        <v>0</v>
      </c>
      <c r="F142" s="14" t="b">
        <v>1</v>
      </c>
      <c r="G142" s="13">
        <v>6</v>
      </c>
      <c r="H142" s="14" t="b">
        <v>0</v>
      </c>
    </row>
    <row r="143" spans="1:8" x14ac:dyDescent="0.35">
      <c r="A143" s="13"/>
      <c r="B143" s="13"/>
      <c r="C143" s="13" t="s">
        <v>159</v>
      </c>
      <c r="D143" s="14" t="b">
        <v>1</v>
      </c>
      <c r="E143" s="14" t="b">
        <v>0</v>
      </c>
      <c r="F143" s="14" t="b">
        <v>1</v>
      </c>
      <c r="G143" s="13">
        <v>6</v>
      </c>
      <c r="H143" s="14" t="b">
        <v>0</v>
      </c>
    </row>
    <row r="144" spans="1:8" x14ac:dyDescent="0.35">
      <c r="A144" s="16"/>
      <c r="B144" s="16"/>
      <c r="C144" s="16"/>
      <c r="D144" s="16"/>
      <c r="E144" s="16"/>
      <c r="F144" s="16"/>
      <c r="G144" s="16"/>
      <c r="H144" s="16"/>
    </row>
    <row r="145" spans="1:8" x14ac:dyDescent="0.35">
      <c r="A145" s="12" t="s">
        <v>160</v>
      </c>
      <c r="B145" s="13"/>
      <c r="C145" s="13"/>
      <c r="D145" s="13"/>
      <c r="E145" s="13"/>
      <c r="F145" s="13"/>
      <c r="G145" s="13"/>
      <c r="H145" s="14" t="b">
        <v>0</v>
      </c>
    </row>
    <row r="146" spans="1:8" x14ac:dyDescent="0.35">
      <c r="A146" s="12"/>
      <c r="B146" s="13" t="s">
        <v>209</v>
      </c>
      <c r="C146" s="13"/>
      <c r="D146" s="14" t="b">
        <v>1</v>
      </c>
      <c r="E146" s="14" t="b">
        <v>0</v>
      </c>
      <c r="F146" s="14" t="b">
        <v>1</v>
      </c>
      <c r="G146" s="13">
        <v>2</v>
      </c>
      <c r="H146" s="14"/>
    </row>
    <row r="147" spans="1:8" x14ac:dyDescent="0.35">
      <c r="A147" s="13"/>
      <c r="B147" s="13"/>
      <c r="C147" s="13" t="s">
        <v>161</v>
      </c>
      <c r="D147" s="14" t="b">
        <v>1</v>
      </c>
      <c r="E147" s="14" t="b">
        <v>1</v>
      </c>
      <c r="F147" s="14" t="b">
        <v>0</v>
      </c>
      <c r="G147" s="13"/>
      <c r="H147" s="14" t="b">
        <v>0</v>
      </c>
    </row>
    <row r="148" spans="1:8" x14ac:dyDescent="0.35">
      <c r="A148" s="16"/>
      <c r="B148" s="16"/>
      <c r="C148" s="16"/>
      <c r="D148" s="16"/>
      <c r="E148" s="16"/>
      <c r="F148" s="16"/>
      <c r="G148" s="16"/>
      <c r="H148" s="16"/>
    </row>
    <row r="149" spans="1:8" x14ac:dyDescent="0.35">
      <c r="A149" s="12" t="s">
        <v>162</v>
      </c>
      <c r="B149" s="13"/>
      <c r="C149" s="13"/>
      <c r="D149" s="13"/>
      <c r="E149" s="13"/>
      <c r="F149" s="13"/>
      <c r="G149" s="13"/>
      <c r="H149" s="14" t="b">
        <v>0</v>
      </c>
    </row>
    <row r="150" spans="1:8" x14ac:dyDescent="0.35">
      <c r="A150" s="13"/>
      <c r="B150" s="13"/>
      <c r="C150" s="13" t="s">
        <v>163</v>
      </c>
      <c r="D150" s="14" t="b">
        <v>1</v>
      </c>
      <c r="E150" s="14" t="b">
        <v>0</v>
      </c>
      <c r="F150" s="14" t="b">
        <v>0</v>
      </c>
      <c r="G150" s="13"/>
      <c r="H150" s="14" t="b">
        <v>0</v>
      </c>
    </row>
    <row r="151" spans="1:8" x14ac:dyDescent="0.35">
      <c r="A151" s="16"/>
      <c r="B151" s="16"/>
      <c r="C151" s="16"/>
      <c r="D151" s="16"/>
      <c r="E151" s="16"/>
      <c r="F151" s="16"/>
      <c r="G151" s="16"/>
      <c r="H151" s="16"/>
    </row>
    <row r="152" spans="1:8" x14ac:dyDescent="0.35">
      <c r="A152" s="12" t="s">
        <v>164</v>
      </c>
      <c r="B152" s="13"/>
      <c r="C152" s="13"/>
      <c r="D152" s="13"/>
      <c r="E152" s="13"/>
      <c r="F152" s="13"/>
      <c r="G152" s="13"/>
      <c r="H152" s="14" t="b">
        <v>0</v>
      </c>
    </row>
    <row r="153" spans="1:8" x14ac:dyDescent="0.35">
      <c r="A153" s="12"/>
      <c r="B153" s="13"/>
      <c r="C153" s="13" t="s">
        <v>232</v>
      </c>
      <c r="D153" s="13"/>
      <c r="E153" s="14" t="b">
        <v>0</v>
      </c>
      <c r="F153" s="14" t="b">
        <v>1</v>
      </c>
      <c r="G153" s="13">
        <v>6</v>
      </c>
      <c r="H153" s="14" t="b">
        <v>0</v>
      </c>
    </row>
    <row r="154" spans="1:8" x14ac:dyDescent="0.35">
      <c r="A154" s="12"/>
      <c r="B154" s="13"/>
      <c r="C154" s="13" t="s">
        <v>233</v>
      </c>
      <c r="D154" s="13"/>
      <c r="E154" s="14" t="b">
        <v>0</v>
      </c>
      <c r="F154" s="14" t="b">
        <v>1</v>
      </c>
      <c r="G154" s="13">
        <v>6</v>
      </c>
      <c r="H154" s="14" t="b">
        <v>0</v>
      </c>
    </row>
    <row r="155" spans="1:8" x14ac:dyDescent="0.35">
      <c r="A155" s="12"/>
      <c r="B155" s="13"/>
      <c r="C155" s="13" t="s">
        <v>237</v>
      </c>
      <c r="D155" s="13"/>
      <c r="E155" s="14" t="b">
        <v>0</v>
      </c>
      <c r="F155" s="14" t="b">
        <v>1</v>
      </c>
      <c r="G155" s="13">
        <v>6</v>
      </c>
      <c r="H155" s="14" t="b">
        <v>0</v>
      </c>
    </row>
    <row r="156" spans="1:8" x14ac:dyDescent="0.35">
      <c r="A156" s="12"/>
      <c r="B156" s="13"/>
      <c r="C156" s="13" t="s">
        <v>236</v>
      </c>
      <c r="D156" s="13"/>
      <c r="E156" s="14" t="b">
        <v>0</v>
      </c>
      <c r="F156" s="14" t="b">
        <v>1</v>
      </c>
      <c r="G156" s="13">
        <v>6</v>
      </c>
      <c r="H156" s="14" t="b">
        <v>0</v>
      </c>
    </row>
    <row r="157" spans="1:8" x14ac:dyDescent="0.35">
      <c r="A157" s="12"/>
      <c r="B157" s="13"/>
      <c r="C157" s="13" t="s">
        <v>235</v>
      </c>
      <c r="D157" s="13"/>
      <c r="E157" s="14" t="b">
        <v>0</v>
      </c>
      <c r="F157" s="14" t="b">
        <v>1</v>
      </c>
      <c r="G157" s="13">
        <v>6</v>
      </c>
      <c r="H157" s="14" t="b">
        <v>0</v>
      </c>
    </row>
    <row r="158" spans="1:8" x14ac:dyDescent="0.35">
      <c r="A158" s="12"/>
      <c r="B158" s="13"/>
      <c r="C158" s="13" t="s">
        <v>234</v>
      </c>
      <c r="D158" s="13"/>
      <c r="E158" s="14" t="b">
        <v>0</v>
      </c>
      <c r="F158" s="14" t="b">
        <v>1</v>
      </c>
      <c r="G158" s="13">
        <v>6</v>
      </c>
      <c r="H158" s="14" t="b">
        <v>0</v>
      </c>
    </row>
    <row r="159" spans="1:8" x14ac:dyDescent="0.35">
      <c r="A159" s="13"/>
      <c r="B159" s="13"/>
      <c r="C159" s="13" t="s">
        <v>165</v>
      </c>
      <c r="D159" s="14" t="b">
        <v>1</v>
      </c>
      <c r="E159" s="14" t="b">
        <v>0</v>
      </c>
      <c r="F159" s="14" t="b">
        <v>1</v>
      </c>
      <c r="G159" s="13">
        <v>6</v>
      </c>
      <c r="H159" s="14" t="b">
        <v>0</v>
      </c>
    </row>
    <row r="160" spans="1:8" x14ac:dyDescent="0.35">
      <c r="A160" s="16"/>
      <c r="B160" s="16"/>
      <c r="C160" s="16"/>
      <c r="D160" s="16"/>
      <c r="E160" s="16"/>
      <c r="F160" s="16"/>
      <c r="G160" s="16"/>
      <c r="H160" s="16"/>
    </row>
    <row r="161" spans="1:8" x14ac:dyDescent="0.35">
      <c r="A161" s="12" t="s">
        <v>166</v>
      </c>
      <c r="B161" s="13"/>
      <c r="C161" s="13"/>
      <c r="D161" s="13"/>
      <c r="E161" s="13"/>
      <c r="F161" s="13"/>
      <c r="G161" s="13"/>
      <c r="H161" s="14" t="b">
        <v>0</v>
      </c>
    </row>
    <row r="162" spans="1:8" x14ac:dyDescent="0.35">
      <c r="A162" s="13"/>
      <c r="B162" s="13"/>
      <c r="C162" s="13" t="s">
        <v>167</v>
      </c>
      <c r="D162" s="14" t="b">
        <v>1</v>
      </c>
      <c r="E162" s="14" t="b">
        <v>1</v>
      </c>
      <c r="F162" s="14" t="b">
        <v>0</v>
      </c>
      <c r="G162" s="13"/>
      <c r="H162" s="14" t="b">
        <v>0</v>
      </c>
    </row>
    <row r="163" spans="1:8" x14ac:dyDescent="0.35">
      <c r="A163" s="13"/>
      <c r="B163" s="13"/>
      <c r="C163" s="13" t="s">
        <v>168</v>
      </c>
      <c r="D163" s="14" t="b">
        <v>1</v>
      </c>
      <c r="E163" s="14" t="b">
        <v>1</v>
      </c>
      <c r="F163" s="14" t="b">
        <v>0</v>
      </c>
      <c r="G163" s="13"/>
      <c r="H163" s="14" t="b">
        <v>0</v>
      </c>
    </row>
    <row r="164" spans="1:8" x14ac:dyDescent="0.35">
      <c r="A164" s="13"/>
      <c r="B164" s="13"/>
      <c r="C164" s="13" t="s">
        <v>169</v>
      </c>
      <c r="D164" s="14" t="b">
        <v>1</v>
      </c>
      <c r="E164" s="14" t="b">
        <v>1</v>
      </c>
      <c r="F164" s="14" t="b">
        <v>0</v>
      </c>
      <c r="G164" s="13"/>
      <c r="H164" s="14" t="b">
        <v>0</v>
      </c>
    </row>
    <row r="165" spans="1:8" x14ac:dyDescent="0.35">
      <c r="A165" s="13"/>
      <c r="B165" s="13"/>
      <c r="C165" s="13" t="s">
        <v>170</v>
      </c>
      <c r="D165" s="14" t="b">
        <v>1</v>
      </c>
      <c r="E165" s="14" t="b">
        <v>1</v>
      </c>
      <c r="F165" s="14" t="b">
        <v>0</v>
      </c>
      <c r="G165" s="13"/>
      <c r="H165" s="14" t="b">
        <v>0</v>
      </c>
    </row>
    <row r="166" spans="1:8" x14ac:dyDescent="0.35">
      <c r="A166" s="16"/>
      <c r="B166" s="16"/>
      <c r="C166" s="16"/>
      <c r="D166" s="16"/>
      <c r="E166" s="16"/>
      <c r="F166" s="16"/>
      <c r="G166" s="16"/>
      <c r="H166" s="16"/>
    </row>
    <row r="167" spans="1:8" x14ac:dyDescent="0.35">
      <c r="A167" s="12" t="s">
        <v>171</v>
      </c>
      <c r="B167" s="13"/>
      <c r="C167" s="13"/>
      <c r="D167" s="13"/>
      <c r="E167" s="13"/>
      <c r="F167" s="13"/>
      <c r="G167" s="13"/>
      <c r="H167" s="14" t="b">
        <v>0</v>
      </c>
    </row>
    <row r="168" spans="1:8" x14ac:dyDescent="0.35">
      <c r="A168" s="13"/>
      <c r="B168" s="13"/>
      <c r="C168" s="13" t="s">
        <v>172</v>
      </c>
      <c r="D168" s="14" t="b">
        <v>1</v>
      </c>
      <c r="E168" s="14" t="b">
        <v>0</v>
      </c>
      <c r="F168" s="14" t="b">
        <v>0</v>
      </c>
      <c r="G168" s="13"/>
      <c r="H168" s="14" t="b">
        <v>0</v>
      </c>
    </row>
    <row r="169" spans="1:8" x14ac:dyDescent="0.35">
      <c r="A169" s="13"/>
      <c r="B169" s="13"/>
      <c r="C169" s="13" t="s">
        <v>173</v>
      </c>
      <c r="D169" s="14" t="b">
        <v>1</v>
      </c>
      <c r="E169" s="14" t="b">
        <v>1</v>
      </c>
      <c r="F169" s="14" t="b">
        <v>0</v>
      </c>
      <c r="G169" s="13"/>
      <c r="H169" s="14" t="b">
        <v>0</v>
      </c>
    </row>
    <row r="170" spans="1:8" x14ac:dyDescent="0.35">
      <c r="A170" s="16"/>
      <c r="B170" s="16"/>
      <c r="C170" s="16"/>
      <c r="D170" s="16"/>
      <c r="E170" s="16"/>
      <c r="F170" s="16"/>
      <c r="G170" s="16"/>
      <c r="H170" s="16"/>
    </row>
    <row r="171" spans="1:8" x14ac:dyDescent="0.35">
      <c r="A171" s="1" t="s">
        <v>174</v>
      </c>
      <c r="B171" s="2"/>
      <c r="C171" s="13"/>
      <c r="D171" s="13"/>
      <c r="E171" s="13"/>
      <c r="F171" s="13"/>
      <c r="G171" s="13"/>
      <c r="H171" s="14" t="b">
        <v>0</v>
      </c>
    </row>
    <row r="172" spans="1:8" x14ac:dyDescent="0.35">
      <c r="A172" s="13"/>
      <c r="B172" s="13"/>
      <c r="C172" s="2" t="s">
        <v>175</v>
      </c>
      <c r="D172" s="14" t="b">
        <v>1</v>
      </c>
      <c r="E172" s="14" t="b">
        <v>1</v>
      </c>
      <c r="F172" s="14" t="b">
        <v>0</v>
      </c>
      <c r="G172" s="13"/>
      <c r="H172" s="14" t="b">
        <v>0</v>
      </c>
    </row>
    <row r="173" spans="1:8" x14ac:dyDescent="0.35">
      <c r="A173" s="13"/>
      <c r="B173" s="13"/>
      <c r="C173" s="2" t="s">
        <v>176</v>
      </c>
      <c r="D173" s="14" t="b">
        <v>0</v>
      </c>
      <c r="E173" s="14" t="b">
        <v>1</v>
      </c>
      <c r="F173" s="14" t="b">
        <v>0</v>
      </c>
      <c r="G173" s="13"/>
      <c r="H173" s="14" t="b">
        <v>0</v>
      </c>
    </row>
    <row r="174" spans="1:8" x14ac:dyDescent="0.35">
      <c r="A174" s="16"/>
      <c r="B174" s="16"/>
      <c r="C174" s="16"/>
      <c r="D174" s="16"/>
      <c r="E174" s="16"/>
      <c r="F174" s="16"/>
      <c r="G174" s="16"/>
      <c r="H174" s="16"/>
    </row>
    <row r="175" spans="1:8" x14ac:dyDescent="0.35">
      <c r="A175" s="1" t="s">
        <v>177</v>
      </c>
      <c r="B175" s="13"/>
      <c r="C175" s="13"/>
      <c r="D175" s="13"/>
      <c r="E175" s="13"/>
      <c r="F175" s="13"/>
      <c r="G175" s="13"/>
      <c r="H175" s="14" t="b">
        <v>0</v>
      </c>
    </row>
    <row r="176" spans="1:8" x14ac:dyDescent="0.35">
      <c r="A176" s="13"/>
      <c r="B176" s="13"/>
      <c r="C176" s="13" t="s">
        <v>178</v>
      </c>
      <c r="D176" s="14" t="b">
        <v>1</v>
      </c>
      <c r="E176" s="14" t="b">
        <v>0</v>
      </c>
      <c r="F176" s="14" t="b">
        <v>0</v>
      </c>
      <c r="G176" s="13"/>
      <c r="H176" s="14" t="b">
        <v>0</v>
      </c>
    </row>
    <row r="177" spans="1:8" x14ac:dyDescent="0.35">
      <c r="A177" s="13"/>
      <c r="B177" s="13"/>
      <c r="C177" s="13" t="s">
        <v>179</v>
      </c>
      <c r="D177" s="14" t="b">
        <v>1</v>
      </c>
      <c r="E177" s="14" t="b">
        <v>0</v>
      </c>
      <c r="F177" s="14" t="b">
        <v>0</v>
      </c>
      <c r="G177" s="13"/>
      <c r="H177" s="14" t="b">
        <v>0</v>
      </c>
    </row>
    <row r="178" spans="1:8" x14ac:dyDescent="0.35">
      <c r="A178" s="13"/>
      <c r="B178" s="13"/>
      <c r="C178" s="13" t="s">
        <v>180</v>
      </c>
      <c r="D178" s="14" t="b">
        <v>1</v>
      </c>
      <c r="E178" s="14" t="b">
        <v>0</v>
      </c>
      <c r="F178" s="14" t="b">
        <v>0</v>
      </c>
      <c r="G178" s="13"/>
      <c r="H178" s="14" t="b">
        <v>0</v>
      </c>
    </row>
    <row r="179" spans="1:8" x14ac:dyDescent="0.35">
      <c r="A179" s="13"/>
      <c r="B179" s="13"/>
      <c r="C179" s="13" t="s">
        <v>181</v>
      </c>
      <c r="D179" s="14" t="b">
        <v>1</v>
      </c>
      <c r="E179" s="14" t="b">
        <v>0</v>
      </c>
      <c r="F179" s="14" t="b">
        <v>0</v>
      </c>
      <c r="G179" s="13"/>
      <c r="H179" s="14" t="b">
        <v>0</v>
      </c>
    </row>
    <row r="180" spans="1:8" x14ac:dyDescent="0.35">
      <c r="A180" s="13"/>
      <c r="B180" s="13"/>
      <c r="C180" s="13" t="s">
        <v>182</v>
      </c>
      <c r="D180" s="14" t="b">
        <v>1</v>
      </c>
      <c r="E180" s="14" t="b">
        <v>0</v>
      </c>
      <c r="F180" s="14" t="b">
        <v>0</v>
      </c>
      <c r="G180" s="13"/>
      <c r="H180" s="14" t="b">
        <v>0</v>
      </c>
    </row>
  </sheetData>
  <autoFilter ref="A2:H2" xr:uid="{6C136FF5-0C49-4A3E-97AE-E69E119D150E}"/>
  <mergeCells count="1">
    <mergeCell ref="J3:K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3CFA-F058-478B-9FB9-A4B150D59978}">
  <dimension ref="A1:H12"/>
  <sheetViews>
    <sheetView showGridLines="0" workbookViewId="0">
      <selection activeCell="E25" sqref="E25"/>
    </sheetView>
  </sheetViews>
  <sheetFormatPr defaultRowHeight="14.5" x14ac:dyDescent="0.35"/>
  <cols>
    <col min="1" max="1" width="28.54296875" customWidth="1"/>
    <col min="2" max="2" width="33" bestFit="1" customWidth="1"/>
    <col min="3" max="3" width="10.7265625" customWidth="1"/>
    <col min="4" max="4" width="13.26953125" customWidth="1"/>
    <col min="5" max="5" width="19.54296875" customWidth="1"/>
    <col min="7" max="7" width="21" bestFit="1" customWidth="1"/>
  </cols>
  <sheetData>
    <row r="1" spans="1:8" ht="15.5" x14ac:dyDescent="0.35">
      <c r="A1" s="9" t="s">
        <v>204</v>
      </c>
      <c r="B1" s="9" t="s">
        <v>194</v>
      </c>
      <c r="C1" s="10" t="s">
        <v>53</v>
      </c>
      <c r="D1" s="10" t="s">
        <v>186</v>
      </c>
      <c r="E1" s="10" t="s">
        <v>55</v>
      </c>
      <c r="G1" s="23" t="s">
        <v>183</v>
      </c>
      <c r="H1" s="23"/>
    </row>
    <row r="2" spans="1:8" x14ac:dyDescent="0.35">
      <c r="A2" s="1" t="s">
        <v>187</v>
      </c>
      <c r="B2" s="13" t="s">
        <v>195</v>
      </c>
      <c r="C2" s="14" t="b">
        <v>1</v>
      </c>
      <c r="D2" s="17">
        <v>46083</v>
      </c>
      <c r="E2" s="14" t="b">
        <v>1</v>
      </c>
      <c r="G2" s="13" t="s">
        <v>185</v>
      </c>
      <c r="H2" s="12">
        <f>COUNT(D1:D10)</f>
        <v>8</v>
      </c>
    </row>
    <row r="3" spans="1:8" x14ac:dyDescent="0.35">
      <c r="A3" s="1" t="s">
        <v>188</v>
      </c>
      <c r="B3" s="13" t="s">
        <v>196</v>
      </c>
      <c r="C3" s="14" t="b">
        <v>1</v>
      </c>
      <c r="D3" s="17">
        <v>46135</v>
      </c>
      <c r="E3" s="14" t="b">
        <v>1</v>
      </c>
      <c r="G3" s="13" t="s">
        <v>184</v>
      </c>
      <c r="H3" s="12">
        <f>H2*3.75</f>
        <v>30</v>
      </c>
    </row>
    <row r="4" spans="1:8" x14ac:dyDescent="0.35">
      <c r="A4" s="1" t="s">
        <v>189</v>
      </c>
      <c r="B4" s="13" t="s">
        <v>197</v>
      </c>
      <c r="C4" s="14" t="b">
        <v>1</v>
      </c>
      <c r="D4" s="17">
        <v>46084</v>
      </c>
      <c r="E4" s="14" t="b">
        <v>1</v>
      </c>
    </row>
    <row r="5" spans="1:8" x14ac:dyDescent="0.35">
      <c r="A5" s="1" t="s">
        <v>190</v>
      </c>
      <c r="B5" s="13" t="s">
        <v>198</v>
      </c>
      <c r="C5" s="14" t="b">
        <v>1</v>
      </c>
      <c r="D5" s="17">
        <v>46097</v>
      </c>
      <c r="E5" s="14" t="b">
        <v>1</v>
      </c>
    </row>
    <row r="6" spans="1:8" x14ac:dyDescent="0.35">
      <c r="A6" s="1" t="s">
        <v>191</v>
      </c>
      <c r="B6" s="13" t="s">
        <v>199</v>
      </c>
      <c r="C6" s="14" t="b">
        <v>1</v>
      </c>
      <c r="D6" s="17">
        <v>46134</v>
      </c>
      <c r="E6" s="14" t="b">
        <v>1</v>
      </c>
    </row>
    <row r="7" spans="1:8" x14ac:dyDescent="0.35">
      <c r="A7" s="1" t="s">
        <v>192</v>
      </c>
      <c r="B7" s="13" t="s">
        <v>200</v>
      </c>
      <c r="C7" s="14" t="b">
        <v>1</v>
      </c>
      <c r="D7" s="17">
        <v>46107</v>
      </c>
      <c r="E7" s="14" t="b">
        <v>1</v>
      </c>
    </row>
    <row r="8" spans="1:8" x14ac:dyDescent="0.35">
      <c r="A8" s="1" t="s">
        <v>193</v>
      </c>
      <c r="B8" s="13" t="s">
        <v>201</v>
      </c>
      <c r="C8" s="14" t="b">
        <v>1</v>
      </c>
      <c r="D8" s="17">
        <v>46092</v>
      </c>
      <c r="E8" s="14" t="b">
        <v>1</v>
      </c>
    </row>
    <row r="9" spans="1:8" x14ac:dyDescent="0.35">
      <c r="A9" s="1" t="s">
        <v>202</v>
      </c>
      <c r="B9" s="13" t="s">
        <v>203</v>
      </c>
      <c r="C9" s="14" t="b">
        <v>1</v>
      </c>
      <c r="D9" s="17">
        <v>46141</v>
      </c>
      <c r="E9" s="14" t="b">
        <v>1</v>
      </c>
    </row>
    <row r="11" spans="1:8" ht="15.5" x14ac:dyDescent="0.35">
      <c r="A11" s="1" t="s">
        <v>224</v>
      </c>
      <c r="B11" s="13"/>
      <c r="G11" s="23" t="s">
        <v>183</v>
      </c>
      <c r="H11" s="23"/>
    </row>
    <row r="12" spans="1:8" x14ac:dyDescent="0.35">
      <c r="G12" s="13" t="s">
        <v>225</v>
      </c>
      <c r="H12" s="12">
        <v>12.75</v>
      </c>
    </row>
  </sheetData>
  <mergeCells count="2">
    <mergeCell ref="G1:H1"/>
    <mergeCell ref="G11:H1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3b1e843-aa37-40f1-93d9-5f6c2c31d888}" enabled="0" method="" siteId="{43b1e843-aa37-40f1-93d9-5f6c2c31d88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weekplanning</vt:lpstr>
      <vt:lpstr>raming objectenhandboek</vt:lpstr>
      <vt:lpstr>objectpagina's</vt:lpstr>
      <vt:lpstr>infopagina's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Wardenburg</dc:creator>
  <cp:lastModifiedBy>Dennis Wardenburg</cp:lastModifiedBy>
  <dcterms:created xsi:type="dcterms:W3CDTF">2026-04-07T12:33:05Z</dcterms:created>
  <dcterms:modified xsi:type="dcterms:W3CDTF">2026-06-15T11:08:34Z</dcterms:modified>
</cp:coreProperties>
</file>
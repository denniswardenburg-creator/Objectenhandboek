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ni\Documents\ECGeo\objectenhandboek\20-7-2026\"/>
    </mc:Choice>
  </mc:AlternateContent>
  <xr:revisionPtr revIDLastSave="0" documentId="8_{14D3311E-B812-4FCD-B952-E9220DFA43AE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Samenvatting" sheetId="1" r:id="rId1"/>
    <sheet name="Objectpaginas" sheetId="2" r:id="rId2"/>
    <sheet name="Broncontro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B8" i="1"/>
  <c r="E7" i="1"/>
  <c r="B7" i="1"/>
  <c r="E6" i="1"/>
  <c r="E5" i="1"/>
  <c r="B5" i="1"/>
</calcChain>
</file>

<file path=xl/sharedStrings.xml><?xml version="1.0" encoding="utf-8"?>
<sst xmlns="http://schemas.openxmlformats.org/spreadsheetml/2006/main" count="343" uniqueCount="148">
  <si>
    <t>Overzicht nog te maken objectpagina's</t>
  </si>
  <si>
    <t>Peildatum 20 juli 2026</t>
  </si>
  <si>
    <t>Kerncijfer</t>
  </si>
  <si>
    <t>Aantal</t>
  </si>
  <si>
    <t>Objectdeel</t>
  </si>
  <si>
    <t>Unieke pagina's nog te maken</t>
  </si>
  <si>
    <t>Onbegroeid terreindeel</t>
  </si>
  <si>
    <t>Objectdelen</t>
  </si>
  <si>
    <t>Wegdeel</t>
  </si>
  <si>
    <t>Controle nodig</t>
  </si>
  <si>
    <t>Ondersteunend waterdeel</t>
  </si>
  <si>
    <t>Bronafwijkingen</t>
  </si>
  <si>
    <t>Overig bouwwerk</t>
  </si>
  <si>
    <t>Scheiding</t>
  </si>
  <si>
    <t>Overbrugging(sdeel)</t>
  </si>
  <si>
    <t>Kunstwerkdeel</t>
  </si>
  <si>
    <t>Functioneel gebied</t>
  </si>
  <si>
    <t>Gebouwinstallatie</t>
  </si>
  <si>
    <t>Registratief gebied</t>
  </si>
  <si>
    <t>Belangrijkste correcties en beslispunten</t>
  </si>
  <si>
    <t>• Oever / slootkant en Benzinestation staan in Excel als gereed, maar ontbreken in de map.</t>
  </si>
  <si>
    <t>• Openbare ruimtelabel en Huisnummerlabel staan in Excel als niet gereed, maar bestaan al en zijn uitgesloten.</t>
  </si>
  <si>
    <t>• Verkeersdrempel komt twee keer voor in Excel en is eenmaal geteld.</t>
  </si>
  <si>
    <t>• Controleer calamiteitendoorsteek (Excel) versus calamiteitenstrook (Word).</t>
  </si>
  <si>
    <t>• Beslis of fly-over en overkapping achter pand een afzonderlijke objectpagina nodig hebben.</t>
  </si>
  <si>
    <t>Nog te maken objectpagina's</t>
  </si>
  <si>
    <t>Vergelijking van objectpagina's.xlsx met de daadwerkelijk aanwezige HTML-pagina's, aangevuld met gewone Word-alinea's. Tabellen uit Word zijn genegeerd.</t>
  </si>
  <si>
    <t>Nr.</t>
  </si>
  <si>
    <t>Objectpagina</t>
  </si>
  <si>
    <t>Excel HTML</t>
  </si>
  <si>
    <t>Bestand in map</t>
  </si>
  <si>
    <t>Batch</t>
  </si>
  <si>
    <t>Aandachtsstatus</t>
  </si>
  <si>
    <t>Aandachtspunt uit Word / controle</t>
  </si>
  <si>
    <t>Nee</t>
  </si>
  <si>
    <t>In Word staan onder OTD aandachtspunten over erf, verharding, zand en rubbertegels.</t>
  </si>
  <si>
    <t>Rijbaan autoweg</t>
  </si>
  <si>
    <t>Geen afzonderlijke inhoudelijke passage in Word.</t>
  </si>
  <si>
    <t>Verkeersdrempel</t>
  </si>
  <si>
    <t>Word noemt verkeersdrempel bij de lokale weg. Dubbele Excelregel is eenmaal geteld.</t>
  </si>
  <si>
    <t>Verbindingsweg</t>
  </si>
  <si>
    <t>Word noemt verbindingsweg bij rijbaan autosnelweg en rijbaan regionale weg.</t>
  </si>
  <si>
    <t>Calamiteitendoorsteek</t>
  </si>
  <si>
    <t>Word gebruikt de term 'calamiteitenstrook'. Bevestigen of hetzelfde object wordt bedoeld.</t>
  </si>
  <si>
    <t>Oever / slootkant</t>
  </si>
  <si>
    <t>Ja</t>
  </si>
  <si>
    <t>Bronafwijking</t>
  </si>
  <si>
    <t>Excel markeert HTML als gereed, maar het bestand ontbreekt in de opgegeven map.</t>
  </si>
  <si>
    <t>Overkapping achter pand</t>
  </si>
  <si>
    <t>Word onderscheidt dit niet als aparte naam. Bevestigen of een aparte pagina naast Overkapping nodig is.</t>
  </si>
  <si>
    <t>Windturbine</t>
  </si>
  <si>
    <t>Onderste gedeelte opnemen als pand en bovenste gedeelte als overig bouwwerk, volgens de genoemde Geonovum-praktijkrichtlijn.</t>
  </si>
  <si>
    <t>Schuur</t>
  </si>
  <si>
    <t>In Word als type overig bouwwerk opgesomd; geen aparte opmerking.</t>
  </si>
  <si>
    <t>Bunker</t>
  </si>
  <si>
    <t>Voedersilo</t>
  </si>
  <si>
    <t>Muur</t>
  </si>
  <si>
    <t>In Word opgesomd zonder afzonderlijke inhoudelijke opmerking.</t>
  </si>
  <si>
    <t>Kademuur</t>
  </si>
  <si>
    <t>Damwand</t>
  </si>
  <si>
    <t>Geluidsscherm</t>
  </si>
  <si>
    <t>Walbescherming</t>
  </si>
  <si>
    <t>Hek</t>
  </si>
  <si>
    <t>Draadraster</t>
  </si>
  <si>
    <t>Faunaraster</t>
  </si>
  <si>
    <t>Overbrugging(sdeel) - algemene pagina</t>
  </si>
  <si>
    <t>Word verdeelt de typen in overbrugging en overbruggingsdeel en noemt daarnaast fly-over, waarvoor geen aparte Excelregel bestaat.</t>
  </si>
  <si>
    <t>Brug</t>
  </si>
  <si>
    <t>In Word opgenomen als type overbrugging.</t>
  </si>
  <si>
    <t>Aquaduct</t>
  </si>
  <si>
    <t>Viaduct</t>
  </si>
  <si>
    <t>Ecoduct</t>
  </si>
  <si>
    <t>Dek</t>
  </si>
  <si>
    <t>In Word opgenomen als type overbruggingsdeel.</t>
  </si>
  <si>
    <t>Landhoofd</t>
  </si>
  <si>
    <t>Pijler</t>
  </si>
  <si>
    <t>Sloof</t>
  </si>
  <si>
    <t>Pyloon</t>
  </si>
  <si>
    <t>Hoogspanningsmast</t>
  </si>
  <si>
    <t>Overnemen van de landelijke voorziening bij een andere bronhouder; wettelijke attributen zijn voldoende.</t>
  </si>
  <si>
    <t>Gemaal</t>
  </si>
  <si>
    <t>Nagaan of de gemeente gemalen in eigendom of beheer heeft.</t>
  </si>
  <si>
    <t>Perron</t>
  </si>
  <si>
    <t>Sluis</t>
  </si>
  <si>
    <t>Strekdam</t>
  </si>
  <si>
    <t>Komt volgens Word niet voor in bronhoudersgebied LNRW.</t>
  </si>
  <si>
    <t>Steiger</t>
  </si>
  <si>
    <t>Stuw</t>
  </si>
  <si>
    <t>Nagaan of de gemeente stuwen in beheer heeft.</t>
  </si>
  <si>
    <t>Keermuur</t>
  </si>
  <si>
    <t>Als LNRW geen bronhouder is: overnemen van de landelijke voorziening en volstaan met wettelijke attributen.</t>
  </si>
  <si>
    <t>Overkluizing</t>
  </si>
  <si>
    <t>Duiker</t>
  </si>
  <si>
    <t>Faunavoorziening</t>
  </si>
  <si>
    <t>Benzinestation</t>
  </si>
  <si>
    <t>Excel markeert HTML als gereed, maar het bestand ontbreekt. Word noemt dit als optioneel functioneel gebied.</t>
  </si>
  <si>
    <t>Luifel</t>
  </si>
  <si>
    <t>Niet in de BGT registreren; wel een luifel-/carportbestand bijhouden voor mutatiesignalering.</t>
  </si>
  <si>
    <t>Openbare ruimte</t>
  </si>
  <si>
    <t>Buurt</t>
  </si>
  <si>
    <t>Wijk</t>
  </si>
  <si>
    <t>Word bevat de vraag of Wijk niet in Geonovum staat maar wel in de pakketten voorkomt.</t>
  </si>
  <si>
    <t>Stadsdeel</t>
  </si>
  <si>
    <t>Waterschap</t>
  </si>
  <si>
    <t>Broncontrole en uitzonderingen</t>
  </si>
  <si>
    <t>Onderwerp</t>
  </si>
  <si>
    <t>Excelstatus</t>
  </si>
  <si>
    <t>Werkelijke situatie</t>
  </si>
  <si>
    <t>Gevolg overzicht</t>
  </si>
  <si>
    <t>Actie</t>
  </si>
  <si>
    <t>Toelichting</t>
  </si>
  <si>
    <t>HTML = ja</t>
  </si>
  <si>
    <t>Bestand ontbreekt</t>
  </si>
  <si>
    <t>Opgenomen</t>
  </si>
  <si>
    <t>Pagina maken</t>
  </si>
  <si>
    <t>Excel en map zijn niet synchroon.</t>
  </si>
  <si>
    <t>Openbare ruimtelabel</t>
  </si>
  <si>
    <t>HTML = nee</t>
  </si>
  <si>
    <t>Bestand bestaat</t>
  </si>
  <si>
    <t>Uitgesloten</t>
  </si>
  <si>
    <t>Excel bijwerken</t>
  </si>
  <si>
    <t>openbare_ruimtelabel.html is aanwezig.</t>
  </si>
  <si>
    <t>Huisnummerlabel</t>
  </si>
  <si>
    <t>huisnummerlabel.html is aanwezig.</t>
  </si>
  <si>
    <t>Twee regels</t>
  </si>
  <si>
    <t>Eén unieke pagina</t>
  </si>
  <si>
    <t>Eenmaal geteld</t>
  </si>
  <si>
    <t>Excel opschonen</t>
  </si>
  <si>
    <t>Dubbele vermelding binnen Wegdeel.</t>
  </si>
  <si>
    <t>Excelterm</t>
  </si>
  <si>
    <t>Word: calamiteitenstrook</t>
  </si>
  <si>
    <t>Terminologie bevestigen</t>
  </si>
  <si>
    <t>Mogelijk twee verschillende begrippen.</t>
  </si>
  <si>
    <t>Fly-over</t>
  </si>
  <si>
    <t>Geen aparte regel</t>
  </si>
  <si>
    <t>Wel genoemd in Word</t>
  </si>
  <si>
    <t>Niet meegeteld</t>
  </si>
  <si>
    <t>Beslissen</t>
  </si>
  <si>
    <t>Bepalen of een afzonderlijke pagina gewenst is.</t>
  </si>
  <si>
    <t>Overkapping bestaat al</t>
  </si>
  <si>
    <t>Bepalen of dit een aparte pagina naast Overkapping moet zijn.</t>
  </si>
  <si>
    <t>Bronbestanden</t>
  </si>
  <si>
    <t>Excel</t>
  </si>
  <si>
    <t>C:\Users\denni\Downloads\objectpagina's.xlsx</t>
  </si>
  <si>
    <t>Word</t>
  </si>
  <si>
    <t>C:\Users\denni\Downloads\Inhoudelijke punten objectenhandboek_23042026.docx</t>
  </si>
  <si>
    <t>HTML-map</t>
  </si>
  <si>
    <t>C:\Users\denni\Documents\ECGeo\objectenhandboek\20-7-2026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</si>
</sst>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8"/>
      <color rgb="FFFFFFFF"/>
      <name val="Aptos"/>
    </font>
    <font>
      <i/>
      <sz val="10"/>
      <color rgb="FF44546A"/>
      <name val="Aptos"/>
    </font>
    <font>
      <b/>
      <sz val="11"/>
      <color rgb="FFFFFFFF"/>
      <name val="Aptos"/>
    </font>
    <font>
      <sz val="10"/>
      <name val="Aptos"/>
    </font>
    <font>
      <i/>
      <sz val="11"/>
      <color rgb="FF17365D"/>
      <name val="Aptos"/>
    </font>
    <font>
      <b/>
      <sz val="11"/>
      <color rgb="FFFFFFFF"/>
      <name val="Carlito"/>
    </font>
    <font>
      <b/>
      <sz val="16"/>
      <color rgb="FF17365D"/>
      <name val="Carlito"/>
    </font>
    <font>
      <b/>
      <sz val="11"/>
      <color rgb="FF17365D"/>
      <name val="Carlito"/>
    </font>
    <font>
      <sz val="10"/>
      <color rgb="FF595959"/>
      <name val="Aptos"/>
    </font>
    <font>
      <b/>
      <sz val="10"/>
      <color rgb="FFFFFFFF"/>
      <name val="Aptos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6" fillId="2" borderId="0" xfId="1" applyFont="1" applyFill="1"/>
    <xf numFmtId="0" fontId="0" fillId="0" borderId="1" xfId="1" applyFont="1" applyBorder="1"/>
    <xf numFmtId="1" fontId="7" fillId="3" borderId="1" xfId="1" applyNumberFormat="1" applyFont="1" applyFill="1" applyBorder="1" applyAlignment="1">
      <alignment horizontal="center"/>
    </xf>
    <xf numFmtId="1" fontId="8" fillId="3" borderId="1" xfId="1" applyNumberFormat="1" applyFont="1" applyFill="1" applyBorder="1" applyAlignment="1">
      <alignment horizontal="center"/>
    </xf>
    <xf numFmtId="0" fontId="8" fillId="0" borderId="0" xfId="1" applyFont="1"/>
    <xf numFmtId="0" fontId="10" fillId="2" borderId="0" xfId="1" applyFont="1" applyFill="1" applyAlignment="1">
      <alignment vertical="center"/>
    </xf>
    <xf numFmtId="0" fontId="5" fillId="4" borderId="0" xfId="1" applyFont="1" applyFill="1"/>
    <xf numFmtId="0" fontId="6" fillId="2" borderId="0" xfId="1" applyFont="1" applyFill="1"/>
    <xf numFmtId="0" fontId="9" fillId="5" borderId="2" xfId="1" applyFont="1" applyFill="1" applyBorder="1" applyAlignment="1">
      <alignment vertical="center" wrapText="1"/>
    </xf>
    <xf numFmtId="0" fontId="9" fillId="5" borderId="3" xfId="1" applyFont="1" applyFill="1" applyBorder="1" applyAlignment="1">
      <alignment vertical="center" wrapText="1"/>
    </xf>
    <xf numFmtId="0" fontId="9" fillId="5" borderId="4" xfId="1" applyFont="1" applyFill="1" applyBorder="1" applyAlignment="1">
      <alignment vertical="center" wrapText="1"/>
    </xf>
    <xf numFmtId="0" fontId="9" fillId="5" borderId="5" xfId="1" applyFont="1" applyFill="1" applyBorder="1" applyAlignment="1">
      <alignment vertical="center" wrapText="1"/>
    </xf>
    <xf numFmtId="0" fontId="9" fillId="5" borderId="0" xfId="1" applyFont="1" applyFill="1" applyAlignment="1">
      <alignment vertical="center" wrapText="1"/>
    </xf>
    <xf numFmtId="0" fontId="9" fillId="5" borderId="6" xfId="1" applyFont="1" applyFill="1" applyBorder="1" applyAlignment="1">
      <alignment vertical="center" wrapText="1"/>
    </xf>
    <xf numFmtId="0" fontId="9" fillId="5" borderId="7" xfId="1" applyFont="1" applyFill="1" applyBorder="1" applyAlignment="1">
      <alignment vertical="center" wrapText="1"/>
    </xf>
    <xf numFmtId="0" fontId="9" fillId="5" borderId="8" xfId="1" applyFont="1" applyFill="1" applyBorder="1" applyAlignment="1">
      <alignment vertical="center" wrapText="1"/>
    </xf>
    <xf numFmtId="0" fontId="9" fillId="5" borderId="9" xfId="1" applyFont="1" applyFill="1" applyBorder="1" applyAlignment="1">
      <alignment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1" fillId="2" borderId="0" xfId="1" applyFont="1" applyFill="1"/>
    <xf numFmtId="0" fontId="4" fillId="3" borderId="0" xfId="1" applyFont="1" applyFill="1" applyAlignment="1">
      <alignment wrapText="1"/>
    </xf>
    <xf numFmtId="0" fontId="4" fillId="6" borderId="0" xfId="1" applyFont="1" applyFill="1" applyAlignment="1">
      <alignment horizontal="center" vertical="top"/>
    </xf>
    <xf numFmtId="0" fontId="4" fillId="6" borderId="0" xfId="1" applyFont="1" applyFill="1" applyAlignment="1">
      <alignment vertical="top"/>
    </xf>
    <xf numFmtId="0" fontId="4" fillId="6" borderId="0" xfId="1" applyFont="1" applyFill="1" applyAlignment="1">
      <alignment horizontal="center" vertical="top" wrapText="1"/>
    </xf>
    <xf numFmtId="0" fontId="4" fillId="6" borderId="0" xfId="1" applyFont="1" applyFill="1" applyAlignment="1">
      <alignment vertical="top" wrapText="1"/>
    </xf>
    <xf numFmtId="0" fontId="0" fillId="6" borderId="0" xfId="0" applyFill="1"/>
  </cellXfs>
  <cellStyles count="2">
    <cellStyle name="Normal" xfId="1" xr:uid="{00000000-0005-0000-0000-000000000000}"/>
    <cellStyle name="Standaard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paginasTabel" displayName="ObjectpaginasTabel" ref="A4:H51" totalsRowShown="0">
  <tableColumns count="8">
    <tableColumn id="1" xr3:uid="{00000000-0010-0000-0000-000001000000}" name="Nr."/>
    <tableColumn id="2" xr3:uid="{00000000-0010-0000-0000-000002000000}" name="Objectdeel"/>
    <tableColumn id="3" xr3:uid="{00000000-0010-0000-0000-000003000000}" name="Objectpagina"/>
    <tableColumn id="4" xr3:uid="{00000000-0010-0000-0000-000004000000}" name="Excel HTML"/>
    <tableColumn id="5" xr3:uid="{00000000-0010-0000-0000-000005000000}" name="Bestand in map"/>
    <tableColumn id="6" xr3:uid="{00000000-0010-0000-0000-000006000000}" name="Batch"/>
    <tableColumn id="7" xr3:uid="{00000000-0010-0000-0000-000007000000}" name="Aandachtsstatus"/>
    <tableColumn id="8" xr3:uid="{00000000-0010-0000-0000-000008000000}" name="Aandachtspunt uit Word / cont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oncontroleTabel" displayName="BroncontroleTabel" ref="A3:F11" totalsRowShown="0">
  <tableColumns count="6">
    <tableColumn id="1" xr3:uid="{00000000-0010-0000-0100-000001000000}" name="Onderwerp"/>
    <tableColumn id="2" xr3:uid="{00000000-0010-0000-0100-000002000000}" name="Excelstatus"/>
    <tableColumn id="3" xr3:uid="{00000000-0010-0000-0100-000003000000}" name="Werkelijke situatie"/>
    <tableColumn id="4" xr3:uid="{00000000-0010-0000-0100-000004000000}" name="Gevolg overzicht"/>
    <tableColumn id="5" xr3:uid="{00000000-0010-0000-0100-000005000000}" name="Actie"/>
    <tableColumn id="6" xr3:uid="{00000000-0010-0000-0100-000006000000}" name="Toelich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145" zoomScaleNormal="145" workbookViewId="0">
      <selection sqref="A1:F1"/>
    </sheetView>
  </sheetViews>
  <sheetFormatPr defaultRowHeight="14"/>
  <cols>
    <col min="1" max="1" width="32" customWidth="1"/>
    <col min="2" max="2" width="13" customWidth="1"/>
    <col min="3" max="3" width="4" customWidth="1"/>
    <col min="4" max="4" width="30" customWidth="1"/>
    <col min="5" max="5" width="11" customWidth="1"/>
    <col min="6" max="6" width="5" customWidth="1"/>
  </cols>
  <sheetData>
    <row r="1" spans="1:6" ht="38" customHeight="1">
      <c r="A1" s="12" t="s">
        <v>0</v>
      </c>
      <c r="B1" s="12"/>
      <c r="C1" s="12"/>
      <c r="D1" s="12"/>
      <c r="E1" s="12"/>
      <c r="F1" s="12"/>
    </row>
    <row r="2" spans="1:6" ht="25" customHeight="1">
      <c r="A2" s="13" t="s">
        <v>1</v>
      </c>
      <c r="B2" s="13"/>
      <c r="C2" s="13"/>
      <c r="D2" s="13"/>
      <c r="E2" s="13"/>
      <c r="F2" s="13"/>
    </row>
    <row r="4" spans="1:6">
      <c r="A4" s="7" t="s">
        <v>2</v>
      </c>
      <c r="B4" s="7" t="s">
        <v>3</v>
      </c>
      <c r="D4" s="7" t="s">
        <v>4</v>
      </c>
      <c r="E4" s="7" t="s">
        <v>3</v>
      </c>
    </row>
    <row r="5" spans="1:6" ht="20">
      <c r="A5" s="8" t="s">
        <v>5</v>
      </c>
      <c r="B5" s="9">
        <f>COUNTA(Objectpaginas!C5:C51)</f>
        <v>47</v>
      </c>
      <c r="D5" s="8" t="s">
        <v>6</v>
      </c>
      <c r="E5" s="10">
        <f>COUNTIF(Objectpaginas!B$5:B$51,D5)</f>
        <v>1</v>
      </c>
    </row>
    <row r="6" spans="1:6" ht="20">
      <c r="A6" s="8" t="s">
        <v>7</v>
      </c>
      <c r="B6" s="9">
        <v>10</v>
      </c>
      <c r="D6" s="8" t="s">
        <v>8</v>
      </c>
      <c r="E6" s="10">
        <f>COUNTIF(Objectpaginas!B$5:B$51,D6)</f>
        <v>4</v>
      </c>
    </row>
    <row r="7" spans="1:6" ht="20">
      <c r="A7" s="8" t="s">
        <v>9</v>
      </c>
      <c r="B7" s="9">
        <f>COUNTIF(Objectpaginas!G5:G51,"Controle nodig")</f>
        <v>8</v>
      </c>
      <c r="D7" s="8" t="s">
        <v>10</v>
      </c>
      <c r="E7" s="10">
        <f>COUNTIF(Objectpaginas!B$5:B$51,D7)</f>
        <v>1</v>
      </c>
    </row>
    <row r="8" spans="1:6" ht="20">
      <c r="A8" s="8" t="s">
        <v>11</v>
      </c>
      <c r="B8" s="9">
        <f>COUNTIF(Objectpaginas!G5:G51,"Bronafwijking")</f>
        <v>2</v>
      </c>
      <c r="D8" s="8" t="s">
        <v>12</v>
      </c>
      <c r="E8" s="10">
        <f>COUNTIF(Objectpaginas!B$5:B$51,D8)</f>
        <v>5</v>
      </c>
    </row>
    <row r="9" spans="1:6">
      <c r="D9" s="8" t="s">
        <v>13</v>
      </c>
      <c r="E9" s="10">
        <f>COUNTIF(Objectpaginas!B$5:B$51,D9)</f>
        <v>8</v>
      </c>
    </row>
    <row r="10" spans="1:6">
      <c r="D10" s="8" t="s">
        <v>14</v>
      </c>
      <c r="E10" s="10">
        <f>COUNTIF(Objectpaginas!B$5:B$51,D10)</f>
        <v>10</v>
      </c>
    </row>
    <row r="11" spans="1:6">
      <c r="D11" s="8" t="s">
        <v>15</v>
      </c>
      <c r="E11" s="10">
        <f>COUNTIF(Objectpaginas!B$5:B$51,D11)</f>
        <v>11</v>
      </c>
    </row>
    <row r="12" spans="1:6">
      <c r="D12" s="8" t="s">
        <v>16</v>
      </c>
      <c r="E12" s="10">
        <f>COUNTIF(Objectpaginas!B$5:B$51,D12)</f>
        <v>1</v>
      </c>
    </row>
    <row r="13" spans="1:6">
      <c r="D13" s="8" t="s">
        <v>17</v>
      </c>
      <c r="E13" s="10">
        <f>COUNTIF(Objectpaginas!B$5:B$51,D13)</f>
        <v>1</v>
      </c>
    </row>
    <row r="14" spans="1:6">
      <c r="D14" s="8" t="s">
        <v>18</v>
      </c>
      <c r="E14" s="10">
        <f>COUNTIF(Objectpaginas!B$5:B$51,D14)</f>
        <v>5</v>
      </c>
    </row>
    <row r="17" spans="1:6" ht="26" customHeight="1">
      <c r="A17" s="14" t="s">
        <v>19</v>
      </c>
      <c r="B17" s="14"/>
      <c r="C17" s="14"/>
      <c r="D17" s="14"/>
      <c r="E17" s="14"/>
      <c r="F17" s="14"/>
    </row>
    <row r="18" spans="1:6" ht="30" customHeight="1">
      <c r="A18" s="15" t="s">
        <v>20</v>
      </c>
      <c r="B18" s="16"/>
      <c r="C18" s="16"/>
      <c r="D18" s="16"/>
      <c r="E18" s="16"/>
      <c r="F18" s="17"/>
    </row>
    <row r="19" spans="1:6" ht="30" customHeight="1">
      <c r="A19" s="18" t="s">
        <v>21</v>
      </c>
      <c r="B19" s="19"/>
      <c r="C19" s="19"/>
      <c r="D19" s="19"/>
      <c r="E19" s="19"/>
      <c r="F19" s="20"/>
    </row>
    <row r="20" spans="1:6" ht="30" customHeight="1">
      <c r="A20" s="18" t="s">
        <v>22</v>
      </c>
      <c r="B20" s="19"/>
      <c r="C20" s="19"/>
      <c r="D20" s="19"/>
      <c r="E20" s="19"/>
      <c r="F20" s="20"/>
    </row>
    <row r="21" spans="1:6" ht="30" customHeight="1">
      <c r="A21" s="18" t="s">
        <v>23</v>
      </c>
      <c r="B21" s="19"/>
      <c r="C21" s="19"/>
      <c r="D21" s="19"/>
      <c r="E21" s="19"/>
      <c r="F21" s="20"/>
    </row>
    <row r="22" spans="1:6" ht="30" customHeight="1">
      <c r="A22" s="21" t="s">
        <v>24</v>
      </c>
      <c r="B22" s="22"/>
      <c r="C22" s="22"/>
      <c r="D22" s="22"/>
      <c r="E22" s="22"/>
      <c r="F22" s="23"/>
    </row>
  </sheetData>
  <mergeCells count="8">
    <mergeCell ref="A20:F20"/>
    <mergeCell ref="A21:F21"/>
    <mergeCell ref="A22:F22"/>
    <mergeCell ref="A1:F1"/>
    <mergeCell ref="A2:F2"/>
    <mergeCell ref="A17:F17"/>
    <mergeCell ref="A18:F18"/>
    <mergeCell ref="A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tabSelected="1" zoomScale="160" zoomScaleNormal="160" workbookViewId="0">
      <selection activeCell="B13" sqref="B13"/>
    </sheetView>
  </sheetViews>
  <sheetFormatPr defaultRowHeight="14"/>
  <cols>
    <col min="1" max="1" width="7" customWidth="1"/>
    <col min="2" max="2" width="25" customWidth="1"/>
    <col min="3" max="3" width="34" customWidth="1"/>
    <col min="4" max="5" width="14" customWidth="1"/>
    <col min="6" max="6" width="9" customWidth="1"/>
    <col min="7" max="7" width="18" customWidth="1"/>
    <col min="8" max="8" width="72" customWidth="1"/>
  </cols>
  <sheetData>
    <row r="1" spans="1:8" ht="34" customHeight="1">
      <c r="A1" s="24" t="s">
        <v>25</v>
      </c>
      <c r="B1" s="24"/>
      <c r="C1" s="24"/>
      <c r="D1" s="24"/>
      <c r="E1" s="24"/>
      <c r="F1" s="24"/>
      <c r="G1" s="24"/>
      <c r="H1" s="24"/>
    </row>
    <row r="2" spans="1:8" ht="34" customHeight="1">
      <c r="A2" s="25" t="s">
        <v>26</v>
      </c>
      <c r="B2" s="25"/>
      <c r="C2" s="25"/>
      <c r="D2" s="25"/>
      <c r="E2" s="25"/>
      <c r="F2" s="25"/>
      <c r="G2" s="25"/>
      <c r="H2" s="25"/>
    </row>
    <row r="4" spans="1:8" ht="28" customHeight="1">
      <c r="A4" s="2" t="s">
        <v>27</v>
      </c>
      <c r="B4" s="2" t="s">
        <v>4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 s="32" customFormat="1" ht="15" customHeight="1">
      <c r="A5" s="28">
        <v>1</v>
      </c>
      <c r="B5" s="29" t="s">
        <v>6</v>
      </c>
      <c r="C5" s="29" t="s">
        <v>6</v>
      </c>
      <c r="D5" s="28" t="s">
        <v>34</v>
      </c>
      <c r="E5" s="28" t="s">
        <v>34</v>
      </c>
      <c r="F5" s="28"/>
      <c r="G5" s="30"/>
      <c r="H5" s="31" t="s">
        <v>35</v>
      </c>
    </row>
    <row r="6" spans="1:8" s="32" customFormat="1" ht="15" customHeight="1">
      <c r="A6" s="28">
        <v>2</v>
      </c>
      <c r="B6" s="29" t="s">
        <v>8</v>
      </c>
      <c r="C6" s="29" t="s">
        <v>36</v>
      </c>
      <c r="D6" s="28" t="s">
        <v>34</v>
      </c>
      <c r="E6" s="28" t="s">
        <v>34</v>
      </c>
      <c r="F6" s="28"/>
      <c r="G6" s="30" t="s">
        <v>9</v>
      </c>
      <c r="H6" s="31" t="s">
        <v>37</v>
      </c>
    </row>
    <row r="7" spans="1:8" s="32" customFormat="1" ht="15" customHeight="1">
      <c r="A7" s="28">
        <v>3</v>
      </c>
      <c r="B7" s="29" t="s">
        <v>8</v>
      </c>
      <c r="C7" s="29" t="s">
        <v>38</v>
      </c>
      <c r="D7" s="28" t="s">
        <v>34</v>
      </c>
      <c r="E7" s="28" t="s">
        <v>34</v>
      </c>
      <c r="F7" s="28"/>
      <c r="G7" s="30"/>
      <c r="H7" s="31" t="s">
        <v>39</v>
      </c>
    </row>
    <row r="8" spans="1:8" s="32" customFormat="1" ht="15" customHeight="1">
      <c r="A8" s="28">
        <v>4</v>
      </c>
      <c r="B8" s="29" t="s">
        <v>8</v>
      </c>
      <c r="C8" s="29" t="s">
        <v>40</v>
      </c>
      <c r="D8" s="28" t="s">
        <v>34</v>
      </c>
      <c r="E8" s="28" t="s">
        <v>34</v>
      </c>
      <c r="F8" s="28"/>
      <c r="G8" s="30"/>
      <c r="H8" s="31" t="s">
        <v>41</v>
      </c>
    </row>
    <row r="9" spans="1:8" s="32" customFormat="1" ht="15" customHeight="1">
      <c r="A9" s="28">
        <v>5</v>
      </c>
      <c r="B9" s="29" t="s">
        <v>8</v>
      </c>
      <c r="C9" s="29" t="s">
        <v>42</v>
      </c>
      <c r="D9" s="28" t="s">
        <v>34</v>
      </c>
      <c r="E9" s="28" t="s">
        <v>34</v>
      </c>
      <c r="F9" s="28"/>
      <c r="G9" s="30" t="s">
        <v>9</v>
      </c>
      <c r="H9" s="31" t="s">
        <v>43</v>
      </c>
    </row>
    <row r="10" spans="1:8" s="32" customFormat="1" ht="15" customHeight="1">
      <c r="A10" s="28">
        <v>6</v>
      </c>
      <c r="B10" s="29" t="s">
        <v>10</v>
      </c>
      <c r="C10" s="29" t="s">
        <v>44</v>
      </c>
      <c r="D10" s="28" t="s">
        <v>45</v>
      </c>
      <c r="E10" s="28" t="s">
        <v>34</v>
      </c>
      <c r="F10" s="28">
        <v>2</v>
      </c>
      <c r="G10" s="30" t="s">
        <v>46</v>
      </c>
      <c r="H10" s="31" t="s">
        <v>47</v>
      </c>
    </row>
    <row r="11" spans="1:8" s="32" customFormat="1" ht="24" customHeight="1">
      <c r="A11" s="28">
        <v>7</v>
      </c>
      <c r="B11" s="29" t="s">
        <v>12</v>
      </c>
      <c r="C11" s="29" t="s">
        <v>48</v>
      </c>
      <c r="D11" s="28" t="s">
        <v>34</v>
      </c>
      <c r="E11" s="28" t="s">
        <v>34</v>
      </c>
      <c r="F11" s="28"/>
      <c r="G11" s="30" t="s">
        <v>9</v>
      </c>
      <c r="H11" s="31" t="s">
        <v>49</v>
      </c>
    </row>
    <row r="12" spans="1:8" s="32" customFormat="1" ht="24" customHeight="1">
      <c r="A12" s="28">
        <v>8</v>
      </c>
      <c r="B12" s="29" t="s">
        <v>12</v>
      </c>
      <c r="C12" s="29" t="s">
        <v>50</v>
      </c>
      <c r="D12" s="28" t="s">
        <v>34</v>
      </c>
      <c r="E12" s="28" t="s">
        <v>34</v>
      </c>
      <c r="F12" s="28"/>
      <c r="G12" s="30"/>
      <c r="H12" s="31" t="s">
        <v>51</v>
      </c>
    </row>
    <row r="13" spans="1:8" s="32" customFormat="1" ht="15" customHeight="1">
      <c r="A13" s="28">
        <v>9</v>
      </c>
      <c r="B13" s="29" t="s">
        <v>12</v>
      </c>
      <c r="C13" s="29" t="s">
        <v>52</v>
      </c>
      <c r="D13" s="28" t="s">
        <v>34</v>
      </c>
      <c r="E13" s="28" t="s">
        <v>34</v>
      </c>
      <c r="F13" s="28"/>
      <c r="G13" s="30"/>
      <c r="H13" s="31" t="s">
        <v>53</v>
      </c>
    </row>
    <row r="14" spans="1:8" ht="15" customHeight="1">
      <c r="A14" s="5">
        <v>10</v>
      </c>
      <c r="B14" s="3" t="s">
        <v>12</v>
      </c>
      <c r="C14" s="3" t="s">
        <v>54</v>
      </c>
      <c r="D14" s="5" t="s">
        <v>34</v>
      </c>
      <c r="E14" s="5" t="s">
        <v>34</v>
      </c>
      <c r="F14" s="5"/>
      <c r="G14" s="6"/>
      <c r="H14" s="4" t="s">
        <v>53</v>
      </c>
    </row>
    <row r="15" spans="1:8" ht="15" customHeight="1">
      <c r="A15" s="5">
        <v>11</v>
      </c>
      <c r="B15" s="3" t="s">
        <v>12</v>
      </c>
      <c r="C15" s="3" t="s">
        <v>55</v>
      </c>
      <c r="D15" s="5" t="s">
        <v>34</v>
      </c>
      <c r="E15" s="5" t="s">
        <v>34</v>
      </c>
      <c r="F15" s="5"/>
      <c r="G15" s="6"/>
      <c r="H15" s="4" t="s">
        <v>53</v>
      </c>
    </row>
    <row r="16" spans="1:8" ht="15" customHeight="1">
      <c r="A16" s="5">
        <v>12</v>
      </c>
      <c r="B16" s="3" t="s">
        <v>13</v>
      </c>
      <c r="C16" s="3" t="s">
        <v>56</v>
      </c>
      <c r="D16" s="5" t="s">
        <v>34</v>
      </c>
      <c r="E16" s="5" t="s">
        <v>34</v>
      </c>
      <c r="F16" s="5"/>
      <c r="G16" s="6"/>
      <c r="H16" s="4" t="s">
        <v>57</v>
      </c>
    </row>
    <row r="17" spans="1:8" ht="15" customHeight="1">
      <c r="A17" s="5">
        <v>13</v>
      </c>
      <c r="B17" s="3" t="s">
        <v>13</v>
      </c>
      <c r="C17" s="3" t="s">
        <v>58</v>
      </c>
      <c r="D17" s="5" t="s">
        <v>34</v>
      </c>
      <c r="E17" s="5" t="s">
        <v>34</v>
      </c>
      <c r="F17" s="5"/>
      <c r="G17" s="6"/>
      <c r="H17" s="4" t="s">
        <v>57</v>
      </c>
    </row>
    <row r="18" spans="1:8" ht="15" customHeight="1">
      <c r="A18" s="5">
        <v>14</v>
      </c>
      <c r="B18" s="3" t="s">
        <v>13</v>
      </c>
      <c r="C18" s="3" t="s">
        <v>59</v>
      </c>
      <c r="D18" s="5" t="s">
        <v>34</v>
      </c>
      <c r="E18" s="5" t="s">
        <v>34</v>
      </c>
      <c r="F18" s="5"/>
      <c r="G18" s="6"/>
      <c r="H18" s="4" t="s">
        <v>57</v>
      </c>
    </row>
    <row r="19" spans="1:8" ht="15" customHeight="1">
      <c r="A19" s="5">
        <v>15</v>
      </c>
      <c r="B19" s="3" t="s">
        <v>13</v>
      </c>
      <c r="C19" s="3" t="s">
        <v>60</v>
      </c>
      <c r="D19" s="5" t="s">
        <v>34</v>
      </c>
      <c r="E19" s="5" t="s">
        <v>34</v>
      </c>
      <c r="F19" s="5"/>
      <c r="G19" s="6"/>
      <c r="H19" s="4" t="s">
        <v>57</v>
      </c>
    </row>
    <row r="20" spans="1:8" ht="15" customHeight="1">
      <c r="A20" s="5">
        <v>16</v>
      </c>
      <c r="B20" s="3" t="s">
        <v>13</v>
      </c>
      <c r="C20" s="3" t="s">
        <v>61</v>
      </c>
      <c r="D20" s="5" t="s">
        <v>34</v>
      </c>
      <c r="E20" s="5" t="s">
        <v>34</v>
      </c>
      <c r="F20" s="5"/>
      <c r="G20" s="6"/>
      <c r="H20" s="4" t="s">
        <v>57</v>
      </c>
    </row>
    <row r="21" spans="1:8" ht="15" customHeight="1">
      <c r="A21" s="5">
        <v>17</v>
      </c>
      <c r="B21" s="3" t="s">
        <v>13</v>
      </c>
      <c r="C21" s="3" t="s">
        <v>62</v>
      </c>
      <c r="D21" s="5" t="s">
        <v>34</v>
      </c>
      <c r="E21" s="5" t="s">
        <v>34</v>
      </c>
      <c r="F21" s="5"/>
      <c r="G21" s="6"/>
      <c r="H21" s="4" t="s">
        <v>57</v>
      </c>
    </row>
    <row r="22" spans="1:8" ht="15" customHeight="1">
      <c r="A22" s="5">
        <v>18</v>
      </c>
      <c r="B22" s="3" t="s">
        <v>13</v>
      </c>
      <c r="C22" s="3" t="s">
        <v>63</v>
      </c>
      <c r="D22" s="5" t="s">
        <v>34</v>
      </c>
      <c r="E22" s="5" t="s">
        <v>34</v>
      </c>
      <c r="F22" s="5"/>
      <c r="G22" s="6"/>
      <c r="H22" s="4" t="s">
        <v>57</v>
      </c>
    </row>
    <row r="23" spans="1:8" ht="15" customHeight="1">
      <c r="A23" s="5">
        <v>19</v>
      </c>
      <c r="B23" s="3" t="s">
        <v>13</v>
      </c>
      <c r="C23" s="3" t="s">
        <v>64</v>
      </c>
      <c r="D23" s="5" t="s">
        <v>34</v>
      </c>
      <c r="E23" s="5" t="s">
        <v>34</v>
      </c>
      <c r="F23" s="5"/>
      <c r="G23" s="6"/>
      <c r="H23" s="4" t="s">
        <v>57</v>
      </c>
    </row>
    <row r="24" spans="1:8" ht="24" customHeight="1">
      <c r="A24" s="5">
        <v>20</v>
      </c>
      <c r="B24" s="3" t="s">
        <v>14</v>
      </c>
      <c r="C24" s="3" t="s">
        <v>65</v>
      </c>
      <c r="D24" s="5" t="s">
        <v>34</v>
      </c>
      <c r="E24" s="5" t="s">
        <v>34</v>
      </c>
      <c r="F24" s="5"/>
      <c r="G24" s="6" t="s">
        <v>9</v>
      </c>
      <c r="H24" s="4" t="s">
        <v>66</v>
      </c>
    </row>
    <row r="25" spans="1:8" ht="15" customHeight="1">
      <c r="A25" s="5">
        <v>21</v>
      </c>
      <c r="B25" s="3" t="s">
        <v>14</v>
      </c>
      <c r="C25" s="3" t="s">
        <v>67</v>
      </c>
      <c r="D25" s="5" t="s">
        <v>34</v>
      </c>
      <c r="E25" s="5" t="s">
        <v>34</v>
      </c>
      <c r="F25" s="5"/>
      <c r="G25" s="6"/>
      <c r="H25" s="4" t="s">
        <v>68</v>
      </c>
    </row>
    <row r="26" spans="1:8" ht="15" customHeight="1">
      <c r="A26" s="5">
        <v>22</v>
      </c>
      <c r="B26" s="3" t="s">
        <v>14</v>
      </c>
      <c r="C26" s="3" t="s">
        <v>69</v>
      </c>
      <c r="D26" s="5" t="s">
        <v>34</v>
      </c>
      <c r="E26" s="5" t="s">
        <v>34</v>
      </c>
      <c r="F26" s="5"/>
      <c r="G26" s="6"/>
      <c r="H26" s="4" t="s">
        <v>68</v>
      </c>
    </row>
    <row r="27" spans="1:8" ht="15" customHeight="1">
      <c r="A27" s="5">
        <v>23</v>
      </c>
      <c r="B27" s="3" t="s">
        <v>14</v>
      </c>
      <c r="C27" s="3" t="s">
        <v>70</v>
      </c>
      <c r="D27" s="5" t="s">
        <v>34</v>
      </c>
      <c r="E27" s="5" t="s">
        <v>34</v>
      </c>
      <c r="F27" s="5"/>
      <c r="G27" s="6"/>
      <c r="H27" s="4" t="s">
        <v>68</v>
      </c>
    </row>
    <row r="28" spans="1:8" ht="15" customHeight="1">
      <c r="A28" s="5">
        <v>24</v>
      </c>
      <c r="B28" s="3" t="s">
        <v>14</v>
      </c>
      <c r="C28" s="3" t="s">
        <v>71</v>
      </c>
      <c r="D28" s="5" t="s">
        <v>34</v>
      </c>
      <c r="E28" s="5" t="s">
        <v>34</v>
      </c>
      <c r="F28" s="5"/>
      <c r="G28" s="6"/>
      <c r="H28" s="4" t="s">
        <v>68</v>
      </c>
    </row>
    <row r="29" spans="1:8" ht="15" customHeight="1">
      <c r="A29" s="5">
        <v>25</v>
      </c>
      <c r="B29" s="3" t="s">
        <v>14</v>
      </c>
      <c r="C29" s="3" t="s">
        <v>72</v>
      </c>
      <c r="D29" s="5" t="s">
        <v>34</v>
      </c>
      <c r="E29" s="5" t="s">
        <v>34</v>
      </c>
      <c r="F29" s="5"/>
      <c r="G29" s="6"/>
      <c r="H29" s="4" t="s">
        <v>73</v>
      </c>
    </row>
    <row r="30" spans="1:8" ht="15" customHeight="1">
      <c r="A30" s="5">
        <v>26</v>
      </c>
      <c r="B30" s="3" t="s">
        <v>14</v>
      </c>
      <c r="C30" s="3" t="s">
        <v>74</v>
      </c>
      <c r="D30" s="5" t="s">
        <v>34</v>
      </c>
      <c r="E30" s="5" t="s">
        <v>34</v>
      </c>
      <c r="F30" s="5"/>
      <c r="G30" s="6"/>
      <c r="H30" s="4" t="s">
        <v>73</v>
      </c>
    </row>
    <row r="31" spans="1:8" ht="15" customHeight="1">
      <c r="A31" s="5">
        <v>27</v>
      </c>
      <c r="B31" s="3" t="s">
        <v>14</v>
      </c>
      <c r="C31" s="3" t="s">
        <v>75</v>
      </c>
      <c r="D31" s="5" t="s">
        <v>34</v>
      </c>
      <c r="E31" s="5" t="s">
        <v>34</v>
      </c>
      <c r="F31" s="5"/>
      <c r="G31" s="6"/>
      <c r="H31" s="4" t="s">
        <v>73</v>
      </c>
    </row>
    <row r="32" spans="1:8" ht="15" customHeight="1">
      <c r="A32" s="5">
        <v>28</v>
      </c>
      <c r="B32" s="3" t="s">
        <v>14</v>
      </c>
      <c r="C32" s="3" t="s">
        <v>76</v>
      </c>
      <c r="D32" s="5" t="s">
        <v>34</v>
      </c>
      <c r="E32" s="5" t="s">
        <v>34</v>
      </c>
      <c r="F32" s="5"/>
      <c r="G32" s="6"/>
      <c r="H32" s="4" t="s">
        <v>73</v>
      </c>
    </row>
    <row r="33" spans="1:8" ht="15" customHeight="1">
      <c r="A33" s="5">
        <v>29</v>
      </c>
      <c r="B33" s="3" t="s">
        <v>14</v>
      </c>
      <c r="C33" s="3" t="s">
        <v>77</v>
      </c>
      <c r="D33" s="5" t="s">
        <v>34</v>
      </c>
      <c r="E33" s="5" t="s">
        <v>34</v>
      </c>
      <c r="F33" s="5"/>
      <c r="G33" s="6"/>
      <c r="H33" s="4" t="s">
        <v>73</v>
      </c>
    </row>
    <row r="34" spans="1:8" ht="24" customHeight="1">
      <c r="A34" s="5">
        <v>30</v>
      </c>
      <c r="B34" s="3" t="s">
        <v>15</v>
      </c>
      <c r="C34" s="3" t="s">
        <v>78</v>
      </c>
      <c r="D34" s="5" t="s">
        <v>34</v>
      </c>
      <c r="E34" s="5" t="s">
        <v>34</v>
      </c>
      <c r="F34" s="5"/>
      <c r="G34" s="6"/>
      <c r="H34" s="4" t="s">
        <v>79</v>
      </c>
    </row>
    <row r="35" spans="1:8" ht="15" customHeight="1">
      <c r="A35" s="5">
        <v>31</v>
      </c>
      <c r="B35" s="3" t="s">
        <v>15</v>
      </c>
      <c r="C35" s="3" t="s">
        <v>80</v>
      </c>
      <c r="D35" s="5" t="s">
        <v>34</v>
      </c>
      <c r="E35" s="5" t="s">
        <v>34</v>
      </c>
      <c r="F35" s="5"/>
      <c r="G35" s="6" t="s">
        <v>9</v>
      </c>
      <c r="H35" s="4" t="s">
        <v>81</v>
      </c>
    </row>
    <row r="36" spans="1:8" ht="24" customHeight="1">
      <c r="A36" s="5">
        <v>32</v>
      </c>
      <c r="B36" s="3" t="s">
        <v>15</v>
      </c>
      <c r="C36" s="3" t="s">
        <v>82</v>
      </c>
      <c r="D36" s="5" t="s">
        <v>34</v>
      </c>
      <c r="E36" s="5" t="s">
        <v>34</v>
      </c>
      <c r="F36" s="5"/>
      <c r="G36" s="6"/>
      <c r="H36" s="4" t="s">
        <v>79</v>
      </c>
    </row>
    <row r="37" spans="1:8" ht="24" customHeight="1">
      <c r="A37" s="5">
        <v>33</v>
      </c>
      <c r="B37" s="3" t="s">
        <v>15</v>
      </c>
      <c r="C37" s="3" t="s">
        <v>83</v>
      </c>
      <c r="D37" s="5" t="s">
        <v>34</v>
      </c>
      <c r="E37" s="5" t="s">
        <v>34</v>
      </c>
      <c r="F37" s="5"/>
      <c r="G37" s="6"/>
      <c r="H37" s="4" t="s">
        <v>79</v>
      </c>
    </row>
    <row r="38" spans="1:8" ht="15" customHeight="1">
      <c r="A38" s="5">
        <v>34</v>
      </c>
      <c r="B38" s="3" t="s">
        <v>15</v>
      </c>
      <c r="C38" s="3" t="s">
        <v>84</v>
      </c>
      <c r="D38" s="5" t="s">
        <v>34</v>
      </c>
      <c r="E38" s="5" t="s">
        <v>34</v>
      </c>
      <c r="F38" s="5"/>
      <c r="G38" s="6" t="s">
        <v>9</v>
      </c>
      <c r="H38" s="4" t="s">
        <v>85</v>
      </c>
    </row>
    <row r="39" spans="1:8" ht="24" customHeight="1">
      <c r="A39" s="5">
        <v>35</v>
      </c>
      <c r="B39" s="3" t="s">
        <v>15</v>
      </c>
      <c r="C39" s="3" t="s">
        <v>86</v>
      </c>
      <c r="D39" s="5" t="s">
        <v>34</v>
      </c>
      <c r="E39" s="5" t="s">
        <v>34</v>
      </c>
      <c r="F39" s="5"/>
      <c r="G39" s="6"/>
      <c r="H39" s="4" t="s">
        <v>79</v>
      </c>
    </row>
    <row r="40" spans="1:8" ht="15" customHeight="1">
      <c r="A40" s="5">
        <v>36</v>
      </c>
      <c r="B40" s="3" t="s">
        <v>15</v>
      </c>
      <c r="C40" s="3" t="s">
        <v>87</v>
      </c>
      <c r="D40" s="5" t="s">
        <v>34</v>
      </c>
      <c r="E40" s="5" t="s">
        <v>34</v>
      </c>
      <c r="F40" s="5"/>
      <c r="G40" s="6" t="s">
        <v>9</v>
      </c>
      <c r="H40" s="4" t="s">
        <v>88</v>
      </c>
    </row>
    <row r="41" spans="1:8" ht="24" customHeight="1">
      <c r="A41" s="5">
        <v>37</v>
      </c>
      <c r="B41" s="3" t="s">
        <v>15</v>
      </c>
      <c r="C41" s="3" t="s">
        <v>89</v>
      </c>
      <c r="D41" s="5" t="s">
        <v>34</v>
      </c>
      <c r="E41" s="5" t="s">
        <v>34</v>
      </c>
      <c r="F41" s="5"/>
      <c r="G41" s="6"/>
      <c r="H41" s="4" t="s">
        <v>90</v>
      </c>
    </row>
    <row r="42" spans="1:8" ht="24" customHeight="1">
      <c r="A42" s="5">
        <v>38</v>
      </c>
      <c r="B42" s="3" t="s">
        <v>15</v>
      </c>
      <c r="C42" s="3" t="s">
        <v>91</v>
      </c>
      <c r="D42" s="5" t="s">
        <v>34</v>
      </c>
      <c r="E42" s="5" t="s">
        <v>34</v>
      </c>
      <c r="F42" s="5"/>
      <c r="G42" s="6"/>
      <c r="H42" s="4" t="s">
        <v>90</v>
      </c>
    </row>
    <row r="43" spans="1:8" ht="24" customHeight="1">
      <c r="A43" s="5">
        <v>39</v>
      </c>
      <c r="B43" s="3" t="s">
        <v>15</v>
      </c>
      <c r="C43" s="3" t="s">
        <v>92</v>
      </c>
      <c r="D43" s="5" t="s">
        <v>34</v>
      </c>
      <c r="E43" s="5" t="s">
        <v>34</v>
      </c>
      <c r="F43" s="5"/>
      <c r="G43" s="6"/>
      <c r="H43" s="4" t="s">
        <v>90</v>
      </c>
    </row>
    <row r="44" spans="1:8" ht="24" customHeight="1">
      <c r="A44" s="5">
        <v>40</v>
      </c>
      <c r="B44" s="3" t="s">
        <v>15</v>
      </c>
      <c r="C44" s="3" t="s">
        <v>93</v>
      </c>
      <c r="D44" s="5" t="s">
        <v>34</v>
      </c>
      <c r="E44" s="5" t="s">
        <v>34</v>
      </c>
      <c r="F44" s="5"/>
      <c r="G44" s="6"/>
      <c r="H44" s="4" t="s">
        <v>90</v>
      </c>
    </row>
    <row r="45" spans="1:8" s="32" customFormat="1" ht="24" customHeight="1">
      <c r="A45" s="28">
        <v>41</v>
      </c>
      <c r="B45" s="29" t="s">
        <v>16</v>
      </c>
      <c r="C45" s="29" t="s">
        <v>94</v>
      </c>
      <c r="D45" s="28" t="s">
        <v>45</v>
      </c>
      <c r="E45" s="28" t="s">
        <v>34</v>
      </c>
      <c r="F45" s="28">
        <v>6</v>
      </c>
      <c r="G45" s="30" t="s">
        <v>46</v>
      </c>
      <c r="H45" s="31" t="s">
        <v>95</v>
      </c>
    </row>
    <row r="46" spans="1:8" ht="15" customHeight="1">
      <c r="A46" s="5">
        <v>42</v>
      </c>
      <c r="B46" s="3" t="s">
        <v>17</v>
      </c>
      <c r="C46" s="3" t="s">
        <v>96</v>
      </c>
      <c r="D46" s="5" t="s">
        <v>34</v>
      </c>
      <c r="E46" s="5" t="s">
        <v>34</v>
      </c>
      <c r="F46" s="5"/>
      <c r="G46" s="6"/>
      <c r="H46" s="4" t="s">
        <v>97</v>
      </c>
    </row>
    <row r="47" spans="1:8" ht="15" customHeight="1">
      <c r="A47" s="5">
        <v>43</v>
      </c>
      <c r="B47" s="3" t="s">
        <v>18</v>
      </c>
      <c r="C47" s="3" t="s">
        <v>98</v>
      </c>
      <c r="D47" s="5" t="s">
        <v>34</v>
      </c>
      <c r="E47" s="5" t="s">
        <v>34</v>
      </c>
      <c r="F47" s="5"/>
      <c r="G47" s="6"/>
      <c r="H47" s="4" t="s">
        <v>57</v>
      </c>
    </row>
    <row r="48" spans="1:8" ht="15" customHeight="1">
      <c r="A48" s="5">
        <v>44</v>
      </c>
      <c r="B48" s="3" t="s">
        <v>18</v>
      </c>
      <c r="C48" s="3" t="s">
        <v>99</v>
      </c>
      <c r="D48" s="5" t="s">
        <v>34</v>
      </c>
      <c r="E48" s="5" t="s">
        <v>34</v>
      </c>
      <c r="F48" s="5"/>
      <c r="G48" s="6"/>
      <c r="H48" s="4" t="s">
        <v>57</v>
      </c>
    </row>
    <row r="49" spans="1:8" ht="15" customHeight="1">
      <c r="A49" s="5">
        <v>45</v>
      </c>
      <c r="B49" s="3" t="s">
        <v>18</v>
      </c>
      <c r="C49" s="3" t="s">
        <v>100</v>
      </c>
      <c r="D49" s="5" t="s">
        <v>34</v>
      </c>
      <c r="E49" s="5" t="s">
        <v>34</v>
      </c>
      <c r="F49" s="5"/>
      <c r="G49" s="6" t="s">
        <v>9</v>
      </c>
      <c r="H49" s="4" t="s">
        <v>101</v>
      </c>
    </row>
    <row r="50" spans="1:8" ht="15" customHeight="1">
      <c r="A50" s="5">
        <v>46</v>
      </c>
      <c r="B50" s="3" t="s">
        <v>18</v>
      </c>
      <c r="C50" s="3" t="s">
        <v>102</v>
      </c>
      <c r="D50" s="5" t="s">
        <v>34</v>
      </c>
      <c r="E50" s="5" t="s">
        <v>34</v>
      </c>
      <c r="F50" s="5"/>
      <c r="G50" s="6"/>
      <c r="H50" s="4" t="s">
        <v>57</v>
      </c>
    </row>
    <row r="51" spans="1:8" ht="15" customHeight="1">
      <c r="A51" s="5">
        <v>47</v>
      </c>
      <c r="B51" s="3" t="s">
        <v>18</v>
      </c>
      <c r="C51" s="3" t="s">
        <v>103</v>
      </c>
      <c r="D51" s="5" t="s">
        <v>34</v>
      </c>
      <c r="E51" s="5" t="s">
        <v>34</v>
      </c>
      <c r="F51" s="5"/>
      <c r="G51" s="6"/>
      <c r="H51" s="4" t="s">
        <v>57</v>
      </c>
    </row>
  </sheetData>
  <mergeCells count="2">
    <mergeCell ref="A1:H1"/>
    <mergeCell ref="A2:H2"/>
  </mergeCells>
  <conditionalFormatting sqref="D5:D51">
    <cfRule type="containsText" dxfId="2" priority="3" operator="containsText" text="Ja"/>
  </conditionalFormatting>
  <conditionalFormatting sqref="G5:G51">
    <cfRule type="containsText" dxfId="1" priority="1" operator="containsText" text="Controle nodig"/>
    <cfRule type="containsText" dxfId="0" priority="2" operator="containsText" text="Bronafwijking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zoomScale="130" zoomScaleNormal="130" workbookViewId="0">
      <selection sqref="A1:F1"/>
    </sheetView>
  </sheetViews>
  <sheetFormatPr defaultRowHeight="14"/>
  <cols>
    <col min="1" max="1" width="28" customWidth="1"/>
    <col min="2" max="5" width="21" customWidth="1"/>
    <col min="6" max="6" width="45" customWidth="1"/>
  </cols>
  <sheetData>
    <row r="1" spans="1:6" ht="34" customHeight="1">
      <c r="A1" s="26" t="s">
        <v>104</v>
      </c>
      <c r="B1" s="26"/>
      <c r="C1" s="26"/>
      <c r="D1" s="26"/>
      <c r="E1" s="26"/>
      <c r="F1" s="26"/>
    </row>
    <row r="3" spans="1:6" ht="28" customHeight="1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109</v>
      </c>
      <c r="F3" s="1" t="s">
        <v>110</v>
      </c>
    </row>
    <row r="4" spans="1:6" ht="34" customHeight="1">
      <c r="A4" s="4" t="s">
        <v>44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spans="1:6" ht="34" customHeight="1">
      <c r="A5" s="4" t="s">
        <v>94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</row>
    <row r="6" spans="1:6" ht="34" customHeight="1">
      <c r="A6" s="4" t="s">
        <v>116</v>
      </c>
      <c r="B6" s="4" t="s">
        <v>117</v>
      </c>
      <c r="C6" s="4" t="s">
        <v>118</v>
      </c>
      <c r="D6" s="4" t="s">
        <v>119</v>
      </c>
      <c r="E6" s="4" t="s">
        <v>120</v>
      </c>
      <c r="F6" s="4" t="s">
        <v>121</v>
      </c>
    </row>
    <row r="7" spans="1:6" ht="34" customHeight="1">
      <c r="A7" s="4" t="s">
        <v>122</v>
      </c>
      <c r="B7" s="4" t="s">
        <v>117</v>
      </c>
      <c r="C7" s="4" t="s">
        <v>118</v>
      </c>
      <c r="D7" s="4" t="s">
        <v>119</v>
      </c>
      <c r="E7" s="4" t="s">
        <v>120</v>
      </c>
      <c r="F7" s="4" t="s">
        <v>123</v>
      </c>
    </row>
    <row r="8" spans="1:6" ht="34" customHeight="1">
      <c r="A8" s="4" t="s">
        <v>38</v>
      </c>
      <c r="B8" s="4" t="s">
        <v>124</v>
      </c>
      <c r="C8" s="4" t="s">
        <v>125</v>
      </c>
      <c r="D8" s="4" t="s">
        <v>126</v>
      </c>
      <c r="E8" s="4" t="s">
        <v>127</v>
      </c>
      <c r="F8" s="4" t="s">
        <v>128</v>
      </c>
    </row>
    <row r="9" spans="1:6" ht="34" customHeight="1">
      <c r="A9" s="4" t="s">
        <v>42</v>
      </c>
      <c r="B9" s="4" t="s">
        <v>129</v>
      </c>
      <c r="C9" s="4" t="s">
        <v>130</v>
      </c>
      <c r="D9" s="4" t="s">
        <v>9</v>
      </c>
      <c r="E9" s="4" t="s">
        <v>131</v>
      </c>
      <c r="F9" s="4" t="s">
        <v>132</v>
      </c>
    </row>
    <row r="10" spans="1:6" ht="34" customHeight="1">
      <c r="A10" s="4" t="s">
        <v>133</v>
      </c>
      <c r="B10" s="4" t="s">
        <v>134</v>
      </c>
      <c r="C10" s="4" t="s">
        <v>135</v>
      </c>
      <c r="D10" s="4" t="s">
        <v>136</v>
      </c>
      <c r="E10" s="4" t="s">
        <v>137</v>
      </c>
      <c r="F10" s="4" t="s">
        <v>138</v>
      </c>
    </row>
    <row r="11" spans="1:6" ht="34" customHeight="1">
      <c r="A11" s="4" t="s">
        <v>48</v>
      </c>
      <c r="B11" s="4" t="s">
        <v>117</v>
      </c>
      <c r="C11" s="4" t="s">
        <v>139</v>
      </c>
      <c r="D11" s="4" t="s">
        <v>113</v>
      </c>
      <c r="E11" s="4" t="s">
        <v>137</v>
      </c>
      <c r="F11" s="4" t="s">
        <v>140</v>
      </c>
    </row>
    <row r="14" spans="1:6">
      <c r="A14" s="14" t="s">
        <v>141</v>
      </c>
      <c r="B14" s="14"/>
      <c r="C14" s="14"/>
      <c r="D14" s="14"/>
      <c r="E14" s="14"/>
      <c r="F14" s="14"/>
    </row>
    <row r="15" spans="1:6">
      <c r="A15" s="11" t="s">
        <v>142</v>
      </c>
      <c r="B15" s="27" t="s">
        <v>143</v>
      </c>
      <c r="C15" s="27"/>
      <c r="D15" s="27"/>
      <c r="E15" s="27"/>
      <c r="F15" s="27"/>
    </row>
    <row r="16" spans="1:6">
      <c r="A16" s="11" t="s">
        <v>144</v>
      </c>
      <c r="B16" s="27" t="s">
        <v>145</v>
      </c>
      <c r="C16" s="27"/>
      <c r="D16" s="27"/>
      <c r="E16" s="27"/>
      <c r="F16" s="27"/>
    </row>
    <row r="17" spans="1:6">
      <c r="A17" s="11" t="s">
        <v>146</v>
      </c>
      <c r="B17" s="27" t="s">
        <v>147</v>
      </c>
      <c r="C17" s="27"/>
      <c r="D17" s="27"/>
      <c r="E17" s="27"/>
      <c r="F17" s="27"/>
    </row>
  </sheetData>
  <mergeCells count="5">
    <mergeCell ref="A1:F1"/>
    <mergeCell ref="A14:F14"/>
    <mergeCell ref="B15:F15"/>
    <mergeCell ref="B16:F16"/>
    <mergeCell ref="B17:F1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Samenvatting</vt:lpstr>
      <vt:lpstr>Objectpaginas</vt:lpstr>
      <vt:lpstr>Broncontrole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wardenburg</dc:creator>
  <cp:lastModifiedBy>dennis wardenburg</cp:lastModifiedBy>
  <dcterms:created xsi:type="dcterms:W3CDTF">2026-07-20T14:29:15Z</dcterms:created>
  <dcterms:modified xsi:type="dcterms:W3CDTF">2026-07-20T14:29:16Z</dcterms:modified>
</cp:coreProperties>
</file>